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la\Pictures\GITHUB\Procurement-Bottleneck-Analysis\02_Dataset\"/>
    </mc:Choice>
  </mc:AlternateContent>
  <xr:revisionPtr revIDLastSave="0" documentId="13_ncr:1_{C439E3FA-C7A0-41E2-AD2E-1EE9857710D1}" xr6:coauthVersionLast="47" xr6:coauthVersionMax="47" xr10:uidLastSave="{00000000-0000-0000-0000-000000000000}"/>
  <bookViews>
    <workbookView xWindow="-118" yWindow="-118" windowWidth="25370" windowHeight="14374" xr2:uid="{08AE3A02-1D16-46C0-A4BB-1D7F1BD60471}"/>
  </bookViews>
  <sheets>
    <sheet name="Sheet1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2" l="1"/>
  <c r="B23" i="2"/>
  <c r="B25" i="2"/>
  <c r="B21" i="2"/>
  <c r="B15" i="2"/>
  <c r="B13" i="2"/>
  <c r="B11" i="2"/>
  <c r="B9" i="2"/>
  <c r="B7" i="2"/>
  <c r="B5" i="2"/>
</calcChain>
</file>

<file path=xl/sharedStrings.xml><?xml version="1.0" encoding="utf-8"?>
<sst xmlns="http://schemas.openxmlformats.org/spreadsheetml/2006/main" count="575" uniqueCount="158">
  <si>
    <t>PO_ID</t>
  </si>
  <si>
    <t>Department</t>
  </si>
  <si>
    <t>Supplier_Name</t>
  </si>
  <si>
    <t>Material_Category</t>
  </si>
  <si>
    <t>Purchase_Request_Date</t>
  </si>
  <si>
    <t>Manager_Approval_Date</t>
  </si>
  <si>
    <t>RFQ_Sent_Date</t>
  </si>
  <si>
    <t>Quotation_Received_Date</t>
  </si>
  <si>
    <t>PO_Creation_Date</t>
  </si>
  <si>
    <t>Supplier_Dispatch_Date</t>
  </si>
  <si>
    <t>Material_Received_Date</t>
  </si>
  <si>
    <t>Quality_Inspection_Date</t>
  </si>
  <si>
    <t>Material_Released_Date</t>
  </si>
  <si>
    <t>Procurement_Lead_Time_Days</t>
  </si>
  <si>
    <t>Supplier_On_Time</t>
  </si>
  <si>
    <t>Approval_Time_Days</t>
  </si>
  <si>
    <t>Delivery_Delay_Days</t>
  </si>
  <si>
    <t>Purchase_Order_Value</t>
  </si>
  <si>
    <t>Procurement_Status</t>
  </si>
  <si>
    <t>Risk_Level</t>
  </si>
  <si>
    <t>Production</t>
  </si>
  <si>
    <t>Engineering</t>
  </si>
  <si>
    <t>Warehouse</t>
  </si>
  <si>
    <t>Quality</t>
  </si>
  <si>
    <t>Operations</t>
  </si>
  <si>
    <t>Maintenance</t>
  </si>
  <si>
    <t>R&amp;D</t>
  </si>
  <si>
    <t>Administration</t>
  </si>
  <si>
    <t>PO001</t>
  </si>
  <si>
    <t>PO002</t>
  </si>
  <si>
    <t>PO003</t>
  </si>
  <si>
    <t>PO004</t>
  </si>
  <si>
    <t>PO005</t>
  </si>
  <si>
    <t>PO006</t>
  </si>
  <si>
    <t>PO007</t>
  </si>
  <si>
    <t>PO008</t>
  </si>
  <si>
    <t>PO009</t>
  </si>
  <si>
    <t>PO010</t>
  </si>
  <si>
    <t>PO011</t>
  </si>
  <si>
    <t>PO012</t>
  </si>
  <si>
    <t>PO013</t>
  </si>
  <si>
    <t>PO014</t>
  </si>
  <si>
    <t>PO015</t>
  </si>
  <si>
    <t>PO016</t>
  </si>
  <si>
    <t>PO017</t>
  </si>
  <si>
    <t>PO018</t>
  </si>
  <si>
    <t>PO019</t>
  </si>
  <si>
    <t>PO020</t>
  </si>
  <si>
    <t>PO021</t>
  </si>
  <si>
    <t>PO022</t>
  </si>
  <si>
    <t>PO023</t>
  </si>
  <si>
    <t>PO024</t>
  </si>
  <si>
    <t>PO025</t>
  </si>
  <si>
    <t>PO026</t>
  </si>
  <si>
    <t>PO027</t>
  </si>
  <si>
    <t>PO028</t>
  </si>
  <si>
    <t>PO029</t>
  </si>
  <si>
    <t>PO030</t>
  </si>
  <si>
    <t>PO031</t>
  </si>
  <si>
    <t>PO032</t>
  </si>
  <si>
    <t>PO033</t>
  </si>
  <si>
    <t>PO034</t>
  </si>
  <si>
    <t>PO035</t>
  </si>
  <si>
    <t>PO036</t>
  </si>
  <si>
    <t>PO037</t>
  </si>
  <si>
    <t>PO038</t>
  </si>
  <si>
    <t>PO039</t>
  </si>
  <si>
    <t>PO040</t>
  </si>
  <si>
    <t>PO041</t>
  </si>
  <si>
    <t>PO042</t>
  </si>
  <si>
    <t>PO043</t>
  </si>
  <si>
    <t>PO044</t>
  </si>
  <si>
    <t>PO045</t>
  </si>
  <si>
    <t>PO046</t>
  </si>
  <si>
    <t>PO047</t>
  </si>
  <si>
    <t>PO048</t>
  </si>
  <si>
    <t>PO049</t>
  </si>
  <si>
    <t>PO050</t>
  </si>
  <si>
    <t>PO051</t>
  </si>
  <si>
    <t>PO052</t>
  </si>
  <si>
    <t>PO053</t>
  </si>
  <si>
    <t>PO054</t>
  </si>
  <si>
    <t>PO055</t>
  </si>
  <si>
    <t>PO056</t>
  </si>
  <si>
    <t>PO057</t>
  </si>
  <si>
    <t>PO058</t>
  </si>
  <si>
    <t>PO059</t>
  </si>
  <si>
    <t>PO060</t>
  </si>
  <si>
    <t>PO061</t>
  </si>
  <si>
    <t>PO062</t>
  </si>
  <si>
    <t>PO063</t>
  </si>
  <si>
    <t>PO064</t>
  </si>
  <si>
    <t>PO065</t>
  </si>
  <si>
    <t>PO066</t>
  </si>
  <si>
    <t>PO067</t>
  </si>
  <si>
    <t>PO068</t>
  </si>
  <si>
    <t>PO069</t>
  </si>
  <si>
    <t>PO070</t>
  </si>
  <si>
    <t>PO071</t>
  </si>
  <si>
    <t>PO072</t>
  </si>
  <si>
    <t>PO073</t>
  </si>
  <si>
    <t>PO074</t>
  </si>
  <si>
    <t>PO075</t>
  </si>
  <si>
    <t>Alpha Industrial Supplies</t>
  </si>
  <si>
    <t>Raw Materials</t>
  </si>
  <si>
    <t>Yes</t>
  </si>
  <si>
    <t>Completed</t>
  </si>
  <si>
    <t>Low</t>
  </si>
  <si>
    <t>Techno Components</t>
  </si>
  <si>
    <t>Electronics</t>
  </si>
  <si>
    <t>No</t>
  </si>
  <si>
    <t>Delayed</t>
  </si>
  <si>
    <t>High</t>
  </si>
  <si>
    <t>Prime Logistics</t>
  </si>
  <si>
    <t>Packaging</t>
  </si>
  <si>
    <t>Metro Suppliers</t>
  </si>
  <si>
    <t>Testing Equipment</t>
  </si>
  <si>
    <t>Green Materials</t>
  </si>
  <si>
    <t>Medium</t>
  </si>
  <si>
    <t>Future Industries</t>
  </si>
  <si>
    <t>Machinery</t>
  </si>
  <si>
    <t>Innovation Tech</t>
  </si>
  <si>
    <t>Office Pro</t>
  </si>
  <si>
    <t>Office Supplies</t>
  </si>
  <si>
    <t>Rapid Manufacturing</t>
  </si>
  <si>
    <t>Spare Parts</t>
  </si>
  <si>
    <t>Global Textiles</t>
  </si>
  <si>
    <t>Consumables</t>
  </si>
  <si>
    <t>29-02-2026</t>
  </si>
  <si>
    <t>Total Purchase Orders</t>
  </si>
  <si>
    <t>Average Lead Time</t>
  </si>
  <si>
    <t>Delayed Orders</t>
  </si>
  <si>
    <t>Average Approval Time</t>
  </si>
  <si>
    <t>Average Delivery Delay</t>
  </si>
  <si>
    <t>High Risk Orders</t>
  </si>
  <si>
    <t xml:space="preserve">Metric              </t>
  </si>
  <si>
    <t xml:space="preserve">        Value</t>
  </si>
  <si>
    <t>Delay Percentage</t>
  </si>
  <si>
    <t>On Time Orders</t>
  </si>
  <si>
    <t>Average PO Value</t>
  </si>
  <si>
    <t>Total Procurement Spend</t>
  </si>
  <si>
    <t xml:space="preserve">Metric                      </t>
  </si>
  <si>
    <t xml:space="preserve">   Value</t>
  </si>
  <si>
    <t>Area</t>
  </si>
  <si>
    <t>Issue</t>
  </si>
  <si>
    <t>Recommendation</t>
  </si>
  <si>
    <t>Approval Process</t>
  </si>
  <si>
    <t>Slow approval cycle</t>
  </si>
  <si>
    <t>Digital approval workflow</t>
  </si>
  <si>
    <t>Supplier Performance</t>
  </si>
  <si>
    <t>Late deliveries</t>
  </si>
  <si>
    <t>Supplier scorecard system</t>
  </si>
  <si>
    <t>Risk Management</t>
  </si>
  <si>
    <t>High risk orders</t>
  </si>
  <si>
    <t>Supplier risk monitoring</t>
  </si>
  <si>
    <t>Procurement Planning</t>
  </si>
  <si>
    <t>Long lead time</t>
  </si>
  <si>
    <t>Forecasting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</si>
</sst>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7551-09E7-444E-8D9D-EC0ADA07421F}">
  <dimension ref="B3:U104"/>
  <sheetViews>
    <sheetView tabSelected="1" workbookViewId="0">
      <selection activeCell="G14" sqref="G14"/>
    </sheetView>
  </sheetViews>
  <sheetFormatPr defaultRowHeight="15.05" x14ac:dyDescent="0.3"/>
  <cols>
    <col min="2" max="2" width="7.77734375" style="3" bestFit="1" customWidth="1"/>
    <col min="3" max="3" width="14.44140625" style="3" bestFit="1" customWidth="1"/>
    <col min="4" max="4" width="18.33203125" bestFit="1" customWidth="1"/>
    <col min="5" max="5" width="21.5546875" bestFit="1" customWidth="1"/>
    <col min="6" max="6" width="28.5546875" bestFit="1" customWidth="1"/>
    <col min="7" max="7" width="28.33203125" bestFit="1" customWidth="1"/>
    <col min="8" max="8" width="18.44140625" bestFit="1" customWidth="1"/>
    <col min="9" max="9" width="30.33203125" bestFit="1" customWidth="1"/>
    <col min="10" max="10" width="21.5546875" bestFit="1" customWidth="1"/>
    <col min="11" max="12" width="28.33203125" bestFit="1" customWidth="1"/>
    <col min="13" max="13" width="28.88671875" bestFit="1" customWidth="1"/>
    <col min="14" max="14" width="28.44140625" bestFit="1" customWidth="1"/>
    <col min="15" max="15" width="35.5546875" bestFit="1" customWidth="1"/>
    <col min="16" max="16" width="21.5546875" bestFit="1" customWidth="1"/>
    <col min="17" max="17" width="24.21875" bestFit="1" customWidth="1"/>
    <col min="18" max="18" width="24.44140625" bestFit="1" customWidth="1"/>
    <col min="19" max="19" width="26.77734375" bestFit="1" customWidth="1"/>
    <col min="20" max="20" width="24.109375" bestFit="1" customWidth="1"/>
    <col min="21" max="21" width="12.77734375" bestFit="1" customWidth="1"/>
  </cols>
  <sheetData>
    <row r="3" spans="2:21" s="1" customFormat="1" ht="20.95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</row>
    <row r="4" spans="2:21" s="1" customFormat="1" ht="20.95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x14ac:dyDescent="0.3">
      <c r="B5" s="5" t="s">
        <v>28</v>
      </c>
      <c r="C5" s="6" t="s">
        <v>20</v>
      </c>
      <c r="D5" s="7" t="s">
        <v>103</v>
      </c>
      <c r="E5" s="7" t="s">
        <v>104</v>
      </c>
      <c r="F5" s="8">
        <v>46023</v>
      </c>
      <c r="G5" s="8">
        <v>46026</v>
      </c>
      <c r="H5" s="8">
        <v>46027</v>
      </c>
      <c r="I5" s="8">
        <v>46030</v>
      </c>
      <c r="J5" s="8">
        <v>46031</v>
      </c>
      <c r="K5" s="8">
        <v>46034</v>
      </c>
      <c r="L5" s="8">
        <v>46037</v>
      </c>
      <c r="M5" s="8">
        <v>46038</v>
      </c>
      <c r="N5" s="8">
        <v>46039</v>
      </c>
      <c r="O5" s="7">
        <v>16</v>
      </c>
      <c r="P5" s="7" t="s">
        <v>105</v>
      </c>
      <c r="Q5" s="7">
        <v>3</v>
      </c>
      <c r="R5" s="7">
        <v>1</v>
      </c>
      <c r="S5" s="7">
        <v>850000</v>
      </c>
      <c r="T5" s="7" t="s">
        <v>106</v>
      </c>
      <c r="U5" s="7" t="s">
        <v>107</v>
      </c>
    </row>
    <row r="6" spans="2:21" x14ac:dyDescent="0.3">
      <c r="B6" s="5" t="s">
        <v>29</v>
      </c>
      <c r="C6" s="6" t="s">
        <v>21</v>
      </c>
      <c r="D6" s="7" t="s">
        <v>108</v>
      </c>
      <c r="E6" s="7" t="s">
        <v>109</v>
      </c>
      <c r="F6" s="8">
        <v>46024</v>
      </c>
      <c r="G6" s="8">
        <v>46030</v>
      </c>
      <c r="H6" s="8">
        <v>46031</v>
      </c>
      <c r="I6" s="8">
        <v>46035</v>
      </c>
      <c r="J6" s="8">
        <v>46036</v>
      </c>
      <c r="K6" s="8">
        <v>46040</v>
      </c>
      <c r="L6" s="8">
        <v>46045</v>
      </c>
      <c r="M6" s="8">
        <v>46047</v>
      </c>
      <c r="N6" s="8">
        <v>46048</v>
      </c>
      <c r="O6" s="7">
        <v>24</v>
      </c>
      <c r="P6" s="7" t="s">
        <v>110</v>
      </c>
      <c r="Q6" s="7">
        <v>6</v>
      </c>
      <c r="R6" s="7">
        <v>5</v>
      </c>
      <c r="S6" s="7">
        <v>620000</v>
      </c>
      <c r="T6" s="7" t="s">
        <v>111</v>
      </c>
      <c r="U6" s="7" t="s">
        <v>112</v>
      </c>
    </row>
    <row r="7" spans="2:21" x14ac:dyDescent="0.3">
      <c r="B7" s="5" t="s">
        <v>30</v>
      </c>
      <c r="C7" s="6" t="s">
        <v>22</v>
      </c>
      <c r="D7" s="7" t="s">
        <v>113</v>
      </c>
      <c r="E7" s="7" t="s">
        <v>114</v>
      </c>
      <c r="F7" s="8">
        <v>46025</v>
      </c>
      <c r="G7" s="8">
        <v>46027</v>
      </c>
      <c r="H7" s="8">
        <v>46028</v>
      </c>
      <c r="I7" s="8">
        <v>46030</v>
      </c>
      <c r="J7" s="8">
        <v>46031</v>
      </c>
      <c r="K7" s="8">
        <v>46033</v>
      </c>
      <c r="L7" s="8">
        <v>46035</v>
      </c>
      <c r="M7" s="8">
        <v>46036</v>
      </c>
      <c r="N7" s="8">
        <v>46037</v>
      </c>
      <c r="O7" s="7">
        <v>12</v>
      </c>
      <c r="P7" s="7" t="s">
        <v>105</v>
      </c>
      <c r="Q7" s="7">
        <v>2</v>
      </c>
      <c r="R7" s="7">
        <v>0</v>
      </c>
      <c r="S7" s="7">
        <v>300000</v>
      </c>
      <c r="T7" s="7" t="s">
        <v>106</v>
      </c>
      <c r="U7" s="7" t="s">
        <v>107</v>
      </c>
    </row>
    <row r="8" spans="2:21" x14ac:dyDescent="0.3">
      <c r="B8" s="5" t="s">
        <v>31</v>
      </c>
      <c r="C8" s="6" t="s">
        <v>23</v>
      </c>
      <c r="D8" s="7" t="s">
        <v>115</v>
      </c>
      <c r="E8" s="7" t="s">
        <v>116</v>
      </c>
      <c r="F8" s="8">
        <v>46027</v>
      </c>
      <c r="G8" s="8">
        <v>46032</v>
      </c>
      <c r="H8" s="8">
        <v>46033</v>
      </c>
      <c r="I8" s="8">
        <v>46037</v>
      </c>
      <c r="J8" s="8">
        <v>46038</v>
      </c>
      <c r="K8" s="8">
        <v>46044</v>
      </c>
      <c r="L8" s="8">
        <v>46050</v>
      </c>
      <c r="M8" s="8">
        <v>46052</v>
      </c>
      <c r="N8" s="8">
        <v>46053</v>
      </c>
      <c r="O8" s="7">
        <v>26</v>
      </c>
      <c r="P8" s="7" t="s">
        <v>110</v>
      </c>
      <c r="Q8" s="7">
        <v>5</v>
      </c>
      <c r="R8" s="7">
        <v>6</v>
      </c>
      <c r="S8" s="7">
        <v>950000</v>
      </c>
      <c r="T8" s="7" t="s">
        <v>111</v>
      </c>
      <c r="U8" s="7" t="s">
        <v>112</v>
      </c>
    </row>
    <row r="9" spans="2:21" x14ac:dyDescent="0.3">
      <c r="B9" s="5" t="s">
        <v>32</v>
      </c>
      <c r="C9" s="6" t="s">
        <v>24</v>
      </c>
      <c r="D9" s="7" t="s">
        <v>117</v>
      </c>
      <c r="E9" s="7" t="s">
        <v>104</v>
      </c>
      <c r="F9" s="8">
        <v>46028</v>
      </c>
      <c r="G9" s="8">
        <v>46031</v>
      </c>
      <c r="H9" s="8">
        <v>46032</v>
      </c>
      <c r="I9" s="8">
        <v>46034</v>
      </c>
      <c r="J9" s="8">
        <v>46035</v>
      </c>
      <c r="K9" s="8">
        <v>46039</v>
      </c>
      <c r="L9" s="8">
        <v>46042</v>
      </c>
      <c r="M9" s="8">
        <v>46043</v>
      </c>
      <c r="N9" s="8">
        <v>46044</v>
      </c>
      <c r="O9" s="7">
        <v>16</v>
      </c>
      <c r="P9" s="7" t="s">
        <v>105</v>
      </c>
      <c r="Q9" s="7">
        <v>3</v>
      </c>
      <c r="R9" s="7">
        <v>2</v>
      </c>
      <c r="S9" s="7">
        <v>750000</v>
      </c>
      <c r="T9" s="7" t="s">
        <v>106</v>
      </c>
      <c r="U9" s="7" t="s">
        <v>118</v>
      </c>
    </row>
    <row r="10" spans="2:21" x14ac:dyDescent="0.3">
      <c r="B10" s="5" t="s">
        <v>33</v>
      </c>
      <c r="C10" s="6" t="s">
        <v>25</v>
      </c>
      <c r="D10" s="7" t="s">
        <v>119</v>
      </c>
      <c r="E10" s="7" t="s">
        <v>120</v>
      </c>
      <c r="F10" s="8">
        <v>46029</v>
      </c>
      <c r="G10" s="8">
        <v>46037</v>
      </c>
      <c r="H10" s="8">
        <v>46038</v>
      </c>
      <c r="I10" s="8">
        <v>46043</v>
      </c>
      <c r="J10" s="8">
        <v>46044</v>
      </c>
      <c r="K10" s="8">
        <v>46050</v>
      </c>
      <c r="L10" s="8">
        <v>46057</v>
      </c>
      <c r="M10" s="8">
        <v>46059</v>
      </c>
      <c r="N10" s="8">
        <v>46060</v>
      </c>
      <c r="O10" s="7">
        <v>31</v>
      </c>
      <c r="P10" s="7" t="s">
        <v>110</v>
      </c>
      <c r="Q10" s="7">
        <v>8</v>
      </c>
      <c r="R10" s="7">
        <v>7</v>
      </c>
      <c r="S10" s="7">
        <v>1250000</v>
      </c>
      <c r="T10" s="7" t="s">
        <v>111</v>
      </c>
      <c r="U10" s="7" t="s">
        <v>112</v>
      </c>
    </row>
    <row r="11" spans="2:21" x14ac:dyDescent="0.3">
      <c r="B11" s="5" t="s">
        <v>34</v>
      </c>
      <c r="C11" s="6" t="s">
        <v>26</v>
      </c>
      <c r="D11" s="7" t="s">
        <v>121</v>
      </c>
      <c r="E11" s="7" t="s">
        <v>109</v>
      </c>
      <c r="F11" s="8">
        <v>46030</v>
      </c>
      <c r="G11" s="8">
        <v>46032</v>
      </c>
      <c r="H11" s="8">
        <v>46033</v>
      </c>
      <c r="I11" s="8">
        <v>46036</v>
      </c>
      <c r="J11" s="8">
        <v>46037</v>
      </c>
      <c r="K11" s="8">
        <v>46040</v>
      </c>
      <c r="L11" s="8">
        <v>46043</v>
      </c>
      <c r="M11" s="8">
        <v>46044</v>
      </c>
      <c r="N11" s="8">
        <v>46045</v>
      </c>
      <c r="O11" s="7">
        <v>15</v>
      </c>
      <c r="P11" s="7" t="s">
        <v>105</v>
      </c>
      <c r="Q11" s="7">
        <v>2</v>
      </c>
      <c r="R11" s="7">
        <v>1</v>
      </c>
      <c r="S11" s="7">
        <v>540000</v>
      </c>
      <c r="T11" s="7" t="s">
        <v>106</v>
      </c>
      <c r="U11" s="7" t="s">
        <v>107</v>
      </c>
    </row>
    <row r="12" spans="2:21" x14ac:dyDescent="0.3">
      <c r="B12" s="5" t="s">
        <v>35</v>
      </c>
      <c r="C12" s="6" t="s">
        <v>27</v>
      </c>
      <c r="D12" s="7" t="s">
        <v>122</v>
      </c>
      <c r="E12" s="7" t="s">
        <v>123</v>
      </c>
      <c r="F12" s="8">
        <v>46032</v>
      </c>
      <c r="G12" s="8">
        <v>46034</v>
      </c>
      <c r="H12" s="8">
        <v>46035</v>
      </c>
      <c r="I12" s="8">
        <v>46037</v>
      </c>
      <c r="J12" s="8">
        <v>46038</v>
      </c>
      <c r="K12" s="8">
        <v>46041</v>
      </c>
      <c r="L12" s="8">
        <v>46044</v>
      </c>
      <c r="M12" s="8">
        <v>46045</v>
      </c>
      <c r="N12" s="8">
        <v>46046</v>
      </c>
      <c r="O12" s="7">
        <v>14</v>
      </c>
      <c r="P12" s="7" t="s">
        <v>105</v>
      </c>
      <c r="Q12" s="7">
        <v>2</v>
      </c>
      <c r="R12" s="7">
        <v>0</v>
      </c>
      <c r="S12" s="7">
        <v>180000</v>
      </c>
      <c r="T12" s="7" t="s">
        <v>106</v>
      </c>
      <c r="U12" s="7" t="s">
        <v>107</v>
      </c>
    </row>
    <row r="13" spans="2:21" x14ac:dyDescent="0.3">
      <c r="B13" s="5" t="s">
        <v>36</v>
      </c>
      <c r="C13" s="6" t="s">
        <v>20</v>
      </c>
      <c r="D13" s="7" t="s">
        <v>103</v>
      </c>
      <c r="E13" s="7" t="s">
        <v>104</v>
      </c>
      <c r="F13" s="8">
        <v>46034</v>
      </c>
      <c r="G13" s="8">
        <v>46040</v>
      </c>
      <c r="H13" s="8">
        <v>46041</v>
      </c>
      <c r="I13" s="8">
        <v>46044</v>
      </c>
      <c r="J13" s="8">
        <v>46045</v>
      </c>
      <c r="K13" s="8">
        <v>46050</v>
      </c>
      <c r="L13" s="8">
        <v>46055</v>
      </c>
      <c r="M13" s="8">
        <v>46057</v>
      </c>
      <c r="N13" s="8">
        <v>46058</v>
      </c>
      <c r="O13" s="7">
        <v>24</v>
      </c>
      <c r="P13" s="7" t="s">
        <v>110</v>
      </c>
      <c r="Q13" s="7">
        <v>6</v>
      </c>
      <c r="R13" s="7">
        <v>5</v>
      </c>
      <c r="S13" s="7">
        <v>920000</v>
      </c>
      <c r="T13" s="7" t="s">
        <v>111</v>
      </c>
      <c r="U13" s="7" t="s">
        <v>112</v>
      </c>
    </row>
    <row r="14" spans="2:21" x14ac:dyDescent="0.3">
      <c r="B14" s="5" t="s">
        <v>37</v>
      </c>
      <c r="C14" s="6" t="s">
        <v>21</v>
      </c>
      <c r="D14" s="7" t="s">
        <v>108</v>
      </c>
      <c r="E14" s="7" t="s">
        <v>109</v>
      </c>
      <c r="F14" s="8">
        <v>46036</v>
      </c>
      <c r="G14" s="8">
        <v>46039</v>
      </c>
      <c r="H14" s="8">
        <v>46040</v>
      </c>
      <c r="I14" s="8">
        <v>46043</v>
      </c>
      <c r="J14" s="8">
        <v>46044</v>
      </c>
      <c r="K14" s="8">
        <v>46047</v>
      </c>
      <c r="L14" s="8">
        <v>46050</v>
      </c>
      <c r="M14" s="8">
        <v>46051</v>
      </c>
      <c r="N14" s="8">
        <v>46052</v>
      </c>
      <c r="O14" s="7">
        <v>16</v>
      </c>
      <c r="P14" s="7" t="s">
        <v>105</v>
      </c>
      <c r="Q14" s="7">
        <v>3</v>
      </c>
      <c r="R14" s="7">
        <v>1</v>
      </c>
      <c r="S14" s="7">
        <v>680000</v>
      </c>
      <c r="T14" s="7" t="s">
        <v>106</v>
      </c>
      <c r="U14" s="7" t="s">
        <v>118</v>
      </c>
    </row>
    <row r="15" spans="2:21" x14ac:dyDescent="0.3">
      <c r="B15" s="5" t="s">
        <v>38</v>
      </c>
      <c r="C15" s="6" t="s">
        <v>22</v>
      </c>
      <c r="D15" s="7" t="s">
        <v>124</v>
      </c>
      <c r="E15" s="7" t="s">
        <v>125</v>
      </c>
      <c r="F15" s="8">
        <v>46037</v>
      </c>
      <c r="G15" s="8">
        <v>46041</v>
      </c>
      <c r="H15" s="8">
        <v>46042</v>
      </c>
      <c r="I15" s="8">
        <v>46045</v>
      </c>
      <c r="J15" s="8">
        <v>46046</v>
      </c>
      <c r="K15" s="8">
        <v>46050</v>
      </c>
      <c r="L15" s="8">
        <v>46054</v>
      </c>
      <c r="M15" s="8">
        <v>46055</v>
      </c>
      <c r="N15" s="8">
        <v>46056</v>
      </c>
      <c r="O15" s="7">
        <v>19</v>
      </c>
      <c r="P15" s="7" t="s">
        <v>110</v>
      </c>
      <c r="Q15" s="7">
        <v>4</v>
      </c>
      <c r="R15" s="7">
        <v>3</v>
      </c>
      <c r="S15" s="7">
        <v>430000</v>
      </c>
      <c r="T15" s="7" t="s">
        <v>111</v>
      </c>
      <c r="U15" s="7" t="s">
        <v>118</v>
      </c>
    </row>
    <row r="16" spans="2:21" x14ac:dyDescent="0.3">
      <c r="B16" s="5" t="s">
        <v>39</v>
      </c>
      <c r="C16" s="6" t="s">
        <v>23</v>
      </c>
      <c r="D16" s="7" t="s">
        <v>113</v>
      </c>
      <c r="E16" s="7" t="s">
        <v>114</v>
      </c>
      <c r="F16" s="8">
        <v>46039</v>
      </c>
      <c r="G16" s="8">
        <v>46041</v>
      </c>
      <c r="H16" s="8">
        <v>46042</v>
      </c>
      <c r="I16" s="8">
        <v>46044</v>
      </c>
      <c r="J16" s="8">
        <v>46045</v>
      </c>
      <c r="K16" s="8">
        <v>46047</v>
      </c>
      <c r="L16" s="8">
        <v>46049</v>
      </c>
      <c r="M16" s="8">
        <v>46050</v>
      </c>
      <c r="N16" s="8">
        <v>46051</v>
      </c>
      <c r="O16" s="7">
        <v>12</v>
      </c>
      <c r="P16" s="7" t="s">
        <v>105</v>
      </c>
      <c r="Q16" s="7">
        <v>2</v>
      </c>
      <c r="R16" s="7">
        <v>0</v>
      </c>
      <c r="S16" s="7">
        <v>260000</v>
      </c>
      <c r="T16" s="7" t="s">
        <v>106</v>
      </c>
      <c r="U16" s="7" t="s">
        <v>107</v>
      </c>
    </row>
    <row r="17" spans="2:21" x14ac:dyDescent="0.3">
      <c r="B17" s="5" t="s">
        <v>40</v>
      </c>
      <c r="C17" s="6" t="s">
        <v>24</v>
      </c>
      <c r="D17" s="7" t="s">
        <v>126</v>
      </c>
      <c r="E17" s="7" t="s">
        <v>127</v>
      </c>
      <c r="F17" s="8">
        <v>46042</v>
      </c>
      <c r="G17" s="8">
        <v>46046</v>
      </c>
      <c r="H17" s="8">
        <v>46047</v>
      </c>
      <c r="I17" s="8">
        <v>46050</v>
      </c>
      <c r="J17" s="8">
        <v>46051</v>
      </c>
      <c r="K17" s="8">
        <v>46055</v>
      </c>
      <c r="L17" s="8">
        <v>46059</v>
      </c>
      <c r="M17" s="8">
        <v>46060</v>
      </c>
      <c r="N17" s="8">
        <v>46061</v>
      </c>
      <c r="O17" s="7">
        <v>19</v>
      </c>
      <c r="P17" s="7" t="s">
        <v>110</v>
      </c>
      <c r="Q17" s="7">
        <v>4</v>
      </c>
      <c r="R17" s="7">
        <v>4</v>
      </c>
      <c r="S17" s="7">
        <v>500000</v>
      </c>
      <c r="T17" s="7" t="s">
        <v>111</v>
      </c>
      <c r="U17" s="7" t="s">
        <v>118</v>
      </c>
    </row>
    <row r="18" spans="2:21" x14ac:dyDescent="0.3">
      <c r="B18" s="5" t="s">
        <v>41</v>
      </c>
      <c r="C18" s="6" t="s">
        <v>25</v>
      </c>
      <c r="D18" s="7" t="s">
        <v>119</v>
      </c>
      <c r="E18" s="7" t="s">
        <v>120</v>
      </c>
      <c r="F18" s="8">
        <v>46044</v>
      </c>
      <c r="G18" s="8">
        <v>46052</v>
      </c>
      <c r="H18" s="8">
        <v>46053</v>
      </c>
      <c r="I18" s="8">
        <v>46058</v>
      </c>
      <c r="J18" s="8">
        <v>46059</v>
      </c>
      <c r="K18" s="8">
        <v>46065</v>
      </c>
      <c r="L18" s="8">
        <v>46071</v>
      </c>
      <c r="M18" s="8">
        <v>46073</v>
      </c>
      <c r="N18" s="8">
        <v>46074</v>
      </c>
      <c r="O18" s="7">
        <v>30</v>
      </c>
      <c r="P18" s="7" t="s">
        <v>110</v>
      </c>
      <c r="Q18" s="7">
        <v>8</v>
      </c>
      <c r="R18" s="7">
        <v>6</v>
      </c>
      <c r="S18" s="7">
        <v>1500000</v>
      </c>
      <c r="T18" s="7" t="s">
        <v>111</v>
      </c>
      <c r="U18" s="7" t="s">
        <v>112</v>
      </c>
    </row>
    <row r="19" spans="2:21" x14ac:dyDescent="0.3">
      <c r="B19" s="5" t="s">
        <v>42</v>
      </c>
      <c r="C19" s="6" t="s">
        <v>26</v>
      </c>
      <c r="D19" s="7" t="s">
        <v>121</v>
      </c>
      <c r="E19" s="7" t="s">
        <v>109</v>
      </c>
      <c r="F19" s="8">
        <v>46047</v>
      </c>
      <c r="G19" s="8">
        <v>46049</v>
      </c>
      <c r="H19" s="8">
        <v>46050</v>
      </c>
      <c r="I19" s="8">
        <v>46053</v>
      </c>
      <c r="J19" s="8">
        <v>46054</v>
      </c>
      <c r="K19" s="8">
        <v>46057</v>
      </c>
      <c r="L19" s="8">
        <v>46060</v>
      </c>
      <c r="M19" s="8">
        <v>46061</v>
      </c>
      <c r="N19" s="8">
        <v>46062</v>
      </c>
      <c r="O19" s="7">
        <v>15</v>
      </c>
      <c r="P19" s="7" t="s">
        <v>105</v>
      </c>
      <c r="Q19" s="7">
        <v>2</v>
      </c>
      <c r="R19" s="7">
        <v>1</v>
      </c>
      <c r="S19" s="7">
        <v>610000</v>
      </c>
      <c r="T19" s="7" t="s">
        <v>106</v>
      </c>
      <c r="U19" s="7" t="s">
        <v>107</v>
      </c>
    </row>
    <row r="20" spans="2:21" x14ac:dyDescent="0.3">
      <c r="B20" s="5" t="s">
        <v>43</v>
      </c>
      <c r="C20" s="6" t="s">
        <v>27</v>
      </c>
      <c r="D20" s="7" t="s">
        <v>122</v>
      </c>
      <c r="E20" s="7" t="s">
        <v>123</v>
      </c>
      <c r="F20" s="8">
        <v>46049</v>
      </c>
      <c r="G20" s="8">
        <v>46051</v>
      </c>
      <c r="H20" s="8">
        <v>46052</v>
      </c>
      <c r="I20" s="8">
        <v>46054</v>
      </c>
      <c r="J20" s="8">
        <v>46055</v>
      </c>
      <c r="K20" s="8">
        <v>46058</v>
      </c>
      <c r="L20" s="8">
        <v>46061</v>
      </c>
      <c r="M20" s="8">
        <v>46062</v>
      </c>
      <c r="N20" s="8">
        <v>46063</v>
      </c>
      <c r="O20" s="7">
        <v>14</v>
      </c>
      <c r="P20" s="7" t="s">
        <v>105</v>
      </c>
      <c r="Q20" s="7">
        <v>2</v>
      </c>
      <c r="R20" s="7">
        <v>0</v>
      </c>
      <c r="S20" s="7">
        <v>200000</v>
      </c>
      <c r="T20" s="7" t="s">
        <v>106</v>
      </c>
      <c r="U20" s="7" t="s">
        <v>107</v>
      </c>
    </row>
    <row r="21" spans="2:21" x14ac:dyDescent="0.3">
      <c r="B21" s="5" t="s">
        <v>44</v>
      </c>
      <c r="C21" s="6" t="s">
        <v>20</v>
      </c>
      <c r="D21" s="7" t="s">
        <v>115</v>
      </c>
      <c r="E21" s="7" t="s">
        <v>104</v>
      </c>
      <c r="F21" s="8">
        <v>46054</v>
      </c>
      <c r="G21" s="8">
        <v>46060</v>
      </c>
      <c r="H21" s="8">
        <v>46061</v>
      </c>
      <c r="I21" s="8">
        <v>46065</v>
      </c>
      <c r="J21" s="8">
        <v>46066</v>
      </c>
      <c r="K21" s="8">
        <v>46071</v>
      </c>
      <c r="L21" s="8">
        <v>46077</v>
      </c>
      <c r="M21" s="8">
        <v>46079</v>
      </c>
      <c r="N21" s="8">
        <v>46080</v>
      </c>
      <c r="O21" s="7">
        <v>26</v>
      </c>
      <c r="P21" s="7" t="s">
        <v>110</v>
      </c>
      <c r="Q21" s="7">
        <v>6</v>
      </c>
      <c r="R21" s="7">
        <v>6</v>
      </c>
      <c r="S21" s="7">
        <v>980000</v>
      </c>
      <c r="T21" s="7" t="s">
        <v>111</v>
      </c>
      <c r="U21" s="7" t="s">
        <v>112</v>
      </c>
    </row>
    <row r="22" spans="2:21" x14ac:dyDescent="0.3">
      <c r="B22" s="5" t="s">
        <v>45</v>
      </c>
      <c r="C22" s="6" t="s">
        <v>21</v>
      </c>
      <c r="D22" s="7" t="s">
        <v>108</v>
      </c>
      <c r="E22" s="7" t="s">
        <v>109</v>
      </c>
      <c r="F22" s="8">
        <v>46056</v>
      </c>
      <c r="G22" s="8">
        <v>46059</v>
      </c>
      <c r="H22" s="8">
        <v>46060</v>
      </c>
      <c r="I22" s="8">
        <v>46063</v>
      </c>
      <c r="J22" s="8">
        <v>46064</v>
      </c>
      <c r="K22" s="8">
        <v>46068</v>
      </c>
      <c r="L22" s="8">
        <v>46071</v>
      </c>
      <c r="M22" s="8">
        <v>46072</v>
      </c>
      <c r="N22" s="8">
        <v>46073</v>
      </c>
      <c r="O22" s="7">
        <v>17</v>
      </c>
      <c r="P22" s="7" t="s">
        <v>105</v>
      </c>
      <c r="Q22" s="7">
        <v>3</v>
      </c>
      <c r="R22" s="7">
        <v>2</v>
      </c>
      <c r="S22" s="7">
        <v>720000</v>
      </c>
      <c r="T22" s="7" t="s">
        <v>106</v>
      </c>
      <c r="U22" s="7" t="s">
        <v>118</v>
      </c>
    </row>
    <row r="23" spans="2:21" x14ac:dyDescent="0.3">
      <c r="B23" s="5" t="s">
        <v>46</v>
      </c>
      <c r="C23" s="6" t="s">
        <v>22</v>
      </c>
      <c r="D23" s="7" t="s">
        <v>124</v>
      </c>
      <c r="E23" s="7" t="s">
        <v>125</v>
      </c>
      <c r="F23" s="8">
        <v>46058</v>
      </c>
      <c r="G23" s="8">
        <v>46062</v>
      </c>
      <c r="H23" s="8">
        <v>46063</v>
      </c>
      <c r="I23" s="8">
        <v>46067</v>
      </c>
      <c r="J23" s="8">
        <v>46068</v>
      </c>
      <c r="K23" s="8">
        <v>46073</v>
      </c>
      <c r="L23" s="8">
        <v>46078</v>
      </c>
      <c r="M23" s="8">
        <v>46080</v>
      </c>
      <c r="N23" s="8">
        <v>46081</v>
      </c>
      <c r="O23" s="7">
        <v>23</v>
      </c>
      <c r="P23" s="7" t="s">
        <v>110</v>
      </c>
      <c r="Q23" s="7">
        <v>4</v>
      </c>
      <c r="R23" s="7">
        <v>5</v>
      </c>
      <c r="S23" s="7">
        <v>460000</v>
      </c>
      <c r="T23" s="7" t="s">
        <v>111</v>
      </c>
      <c r="U23" s="7" t="s">
        <v>118</v>
      </c>
    </row>
    <row r="24" spans="2:21" x14ac:dyDescent="0.3">
      <c r="B24" s="5" t="s">
        <v>47</v>
      </c>
      <c r="C24" s="6" t="s">
        <v>23</v>
      </c>
      <c r="D24" s="7" t="s">
        <v>113</v>
      </c>
      <c r="E24" s="7" t="s">
        <v>114</v>
      </c>
      <c r="F24" s="8">
        <v>46060</v>
      </c>
      <c r="G24" s="8">
        <v>46062</v>
      </c>
      <c r="H24" s="8">
        <v>46063</v>
      </c>
      <c r="I24" s="8">
        <v>46065</v>
      </c>
      <c r="J24" s="8">
        <v>46066</v>
      </c>
      <c r="K24" s="8">
        <v>46069</v>
      </c>
      <c r="L24" s="8">
        <v>46071</v>
      </c>
      <c r="M24" s="8">
        <v>46072</v>
      </c>
      <c r="N24" s="8">
        <v>46073</v>
      </c>
      <c r="O24" s="7">
        <v>13</v>
      </c>
      <c r="P24" s="7" t="s">
        <v>105</v>
      </c>
      <c r="Q24" s="7">
        <v>2</v>
      </c>
      <c r="R24" s="7">
        <v>0</v>
      </c>
      <c r="S24" s="7">
        <v>310000</v>
      </c>
      <c r="T24" s="7" t="s">
        <v>106</v>
      </c>
      <c r="U24" s="7" t="s">
        <v>107</v>
      </c>
    </row>
    <row r="25" spans="2:21" x14ac:dyDescent="0.3">
      <c r="B25" s="5" t="s">
        <v>48</v>
      </c>
      <c r="C25" s="6" t="s">
        <v>24</v>
      </c>
      <c r="D25" s="7" t="s">
        <v>117</v>
      </c>
      <c r="E25" s="7" t="s">
        <v>127</v>
      </c>
      <c r="F25" s="8">
        <v>46063</v>
      </c>
      <c r="G25" s="8">
        <v>46067</v>
      </c>
      <c r="H25" s="8">
        <v>46068</v>
      </c>
      <c r="I25" s="8">
        <v>46072</v>
      </c>
      <c r="J25" s="8">
        <v>46073</v>
      </c>
      <c r="K25" s="8">
        <v>46078</v>
      </c>
      <c r="L25" s="8">
        <v>46083</v>
      </c>
      <c r="M25" s="8">
        <v>46085</v>
      </c>
      <c r="N25" s="8">
        <v>46086</v>
      </c>
      <c r="O25" s="7">
        <v>23</v>
      </c>
      <c r="P25" s="7" t="s">
        <v>110</v>
      </c>
      <c r="Q25" s="7">
        <v>4</v>
      </c>
      <c r="R25" s="7">
        <v>5</v>
      </c>
      <c r="S25" s="7">
        <v>560000</v>
      </c>
      <c r="T25" s="7" t="s">
        <v>111</v>
      </c>
      <c r="U25" s="7" t="s">
        <v>118</v>
      </c>
    </row>
    <row r="26" spans="2:21" x14ac:dyDescent="0.3">
      <c r="B26" s="5" t="s">
        <v>49</v>
      </c>
      <c r="C26" s="6" t="s">
        <v>25</v>
      </c>
      <c r="D26" s="7" t="s">
        <v>119</v>
      </c>
      <c r="E26" s="7" t="s">
        <v>120</v>
      </c>
      <c r="F26" s="8">
        <v>46065</v>
      </c>
      <c r="G26" s="8">
        <v>46073</v>
      </c>
      <c r="H26" s="8">
        <v>46074</v>
      </c>
      <c r="I26" s="8">
        <v>46079</v>
      </c>
      <c r="J26" s="8">
        <v>46080</v>
      </c>
      <c r="K26" s="8">
        <v>46086</v>
      </c>
      <c r="L26" s="8">
        <v>46093</v>
      </c>
      <c r="M26" s="8">
        <v>46095</v>
      </c>
      <c r="N26" s="8">
        <v>46096</v>
      </c>
      <c r="O26" s="7">
        <v>31</v>
      </c>
      <c r="P26" s="7" t="s">
        <v>110</v>
      </c>
      <c r="Q26" s="7">
        <v>8</v>
      </c>
      <c r="R26" s="7">
        <v>7</v>
      </c>
      <c r="S26" s="7">
        <v>1350000</v>
      </c>
      <c r="T26" s="7" t="s">
        <v>111</v>
      </c>
      <c r="U26" s="7" t="s">
        <v>112</v>
      </c>
    </row>
    <row r="27" spans="2:21" x14ac:dyDescent="0.3">
      <c r="B27" s="5" t="s">
        <v>50</v>
      </c>
      <c r="C27" s="6" t="s">
        <v>26</v>
      </c>
      <c r="D27" s="7" t="s">
        <v>121</v>
      </c>
      <c r="E27" s="7" t="s">
        <v>109</v>
      </c>
      <c r="F27" s="8">
        <v>46068</v>
      </c>
      <c r="G27" s="8">
        <v>46070</v>
      </c>
      <c r="H27" s="8">
        <v>46071</v>
      </c>
      <c r="I27" s="8">
        <v>46074</v>
      </c>
      <c r="J27" s="8">
        <v>46075</v>
      </c>
      <c r="K27" s="8">
        <v>46078</v>
      </c>
      <c r="L27" s="8">
        <v>46081</v>
      </c>
      <c r="M27" s="8">
        <v>46082</v>
      </c>
      <c r="N27" s="8">
        <v>46083</v>
      </c>
      <c r="O27" s="7">
        <v>15</v>
      </c>
      <c r="P27" s="7" t="s">
        <v>105</v>
      </c>
      <c r="Q27" s="7">
        <v>2</v>
      </c>
      <c r="R27" s="7">
        <v>1</v>
      </c>
      <c r="S27" s="7">
        <v>650000</v>
      </c>
      <c r="T27" s="7" t="s">
        <v>106</v>
      </c>
      <c r="U27" s="7" t="s">
        <v>107</v>
      </c>
    </row>
    <row r="28" spans="2:21" x14ac:dyDescent="0.3">
      <c r="B28" s="5" t="s">
        <v>51</v>
      </c>
      <c r="C28" s="6" t="s">
        <v>27</v>
      </c>
      <c r="D28" s="7" t="s">
        <v>122</v>
      </c>
      <c r="E28" s="7" t="s">
        <v>123</v>
      </c>
      <c r="F28" s="8">
        <v>46071</v>
      </c>
      <c r="G28" s="8">
        <v>46073</v>
      </c>
      <c r="H28" s="8">
        <v>46074</v>
      </c>
      <c r="I28" s="8">
        <v>46076</v>
      </c>
      <c r="J28" s="8">
        <v>46077</v>
      </c>
      <c r="K28" s="8">
        <v>46080</v>
      </c>
      <c r="L28" s="8">
        <v>46082</v>
      </c>
      <c r="M28" s="8">
        <v>46083</v>
      </c>
      <c r="N28" s="8">
        <v>46084</v>
      </c>
      <c r="O28" s="7">
        <v>13</v>
      </c>
      <c r="P28" s="7" t="s">
        <v>105</v>
      </c>
      <c r="Q28" s="7">
        <v>2</v>
      </c>
      <c r="R28" s="7">
        <v>0</v>
      </c>
      <c r="S28" s="7">
        <v>190000</v>
      </c>
      <c r="T28" s="7" t="s">
        <v>106</v>
      </c>
      <c r="U28" s="7" t="s">
        <v>107</v>
      </c>
    </row>
    <row r="29" spans="2:21" x14ac:dyDescent="0.3">
      <c r="B29" s="5" t="s">
        <v>52</v>
      </c>
      <c r="C29" s="6" t="s">
        <v>20</v>
      </c>
      <c r="D29" s="7" t="s">
        <v>103</v>
      </c>
      <c r="E29" s="7" t="s">
        <v>104</v>
      </c>
      <c r="F29" s="8">
        <v>46073</v>
      </c>
      <c r="G29" s="8">
        <v>46079</v>
      </c>
      <c r="H29" s="8">
        <v>46080</v>
      </c>
      <c r="I29" s="8">
        <v>46084</v>
      </c>
      <c r="J29" s="8">
        <v>46085</v>
      </c>
      <c r="K29" s="8">
        <v>46090</v>
      </c>
      <c r="L29" s="8">
        <v>46096</v>
      </c>
      <c r="M29" s="8">
        <v>46098</v>
      </c>
      <c r="N29" s="8">
        <v>46099</v>
      </c>
      <c r="O29" s="7">
        <v>26</v>
      </c>
      <c r="P29" s="7" t="s">
        <v>110</v>
      </c>
      <c r="Q29" s="7">
        <v>6</v>
      </c>
      <c r="R29" s="7">
        <v>6</v>
      </c>
      <c r="S29" s="7">
        <v>1050000</v>
      </c>
      <c r="T29" s="7" t="s">
        <v>111</v>
      </c>
      <c r="U29" s="7" t="s">
        <v>112</v>
      </c>
    </row>
    <row r="30" spans="2:21" x14ac:dyDescent="0.3">
      <c r="B30" s="5" t="s">
        <v>53</v>
      </c>
      <c r="C30" s="6" t="s">
        <v>21</v>
      </c>
      <c r="D30" s="7" t="s">
        <v>108</v>
      </c>
      <c r="E30" s="7" t="s">
        <v>109</v>
      </c>
      <c r="F30" s="8">
        <v>46075</v>
      </c>
      <c r="G30" s="8">
        <v>46078</v>
      </c>
      <c r="H30" s="8">
        <v>46079</v>
      </c>
      <c r="I30" s="8">
        <v>46082</v>
      </c>
      <c r="J30" s="8">
        <v>46083</v>
      </c>
      <c r="K30" s="8">
        <v>46086</v>
      </c>
      <c r="L30" s="8">
        <v>46089</v>
      </c>
      <c r="M30" s="8">
        <v>46090</v>
      </c>
      <c r="N30" s="8">
        <v>46091</v>
      </c>
      <c r="O30" s="7">
        <v>16</v>
      </c>
      <c r="P30" s="7" t="s">
        <v>105</v>
      </c>
      <c r="Q30" s="7">
        <v>3</v>
      </c>
      <c r="R30" s="7">
        <v>1</v>
      </c>
      <c r="S30" s="7">
        <v>760000</v>
      </c>
      <c r="T30" s="7" t="s">
        <v>106</v>
      </c>
      <c r="U30" s="7" t="s">
        <v>118</v>
      </c>
    </row>
    <row r="31" spans="2:21" x14ac:dyDescent="0.3">
      <c r="B31" s="5" t="s">
        <v>54</v>
      </c>
      <c r="C31" s="6" t="s">
        <v>22</v>
      </c>
      <c r="D31" s="7" t="s">
        <v>124</v>
      </c>
      <c r="E31" s="7" t="s">
        <v>125</v>
      </c>
      <c r="F31" s="8">
        <v>46078</v>
      </c>
      <c r="G31" s="9" t="s">
        <v>128</v>
      </c>
      <c r="H31" s="8">
        <v>46082</v>
      </c>
      <c r="I31" s="8">
        <v>46086</v>
      </c>
      <c r="J31" s="8">
        <v>46087</v>
      </c>
      <c r="K31" s="8">
        <v>46092</v>
      </c>
      <c r="L31" s="8">
        <v>46097</v>
      </c>
      <c r="M31" s="8">
        <v>46099</v>
      </c>
      <c r="N31" s="8">
        <v>46100</v>
      </c>
      <c r="O31" s="7">
        <v>22</v>
      </c>
      <c r="P31" s="7" t="s">
        <v>110</v>
      </c>
      <c r="Q31" s="7">
        <v>4</v>
      </c>
      <c r="R31" s="7">
        <v>5</v>
      </c>
      <c r="S31" s="7">
        <v>480000</v>
      </c>
      <c r="T31" s="7" t="s">
        <v>111</v>
      </c>
      <c r="U31" s="7" t="s">
        <v>118</v>
      </c>
    </row>
    <row r="32" spans="2:21" x14ac:dyDescent="0.3">
      <c r="B32" s="5" t="s">
        <v>55</v>
      </c>
      <c r="C32" s="6" t="s">
        <v>23</v>
      </c>
      <c r="D32" s="7" t="s">
        <v>113</v>
      </c>
      <c r="E32" s="7" t="s">
        <v>114</v>
      </c>
      <c r="F32" s="8">
        <v>46080</v>
      </c>
      <c r="G32" s="8">
        <v>46082</v>
      </c>
      <c r="H32" s="8">
        <v>46083</v>
      </c>
      <c r="I32" s="8">
        <v>46085</v>
      </c>
      <c r="J32" s="8">
        <v>46086</v>
      </c>
      <c r="K32" s="8">
        <v>46089</v>
      </c>
      <c r="L32" s="8">
        <v>46091</v>
      </c>
      <c r="M32" s="8">
        <v>46092</v>
      </c>
      <c r="N32" s="8">
        <v>46093</v>
      </c>
      <c r="O32" s="7">
        <v>13</v>
      </c>
      <c r="P32" s="7" t="s">
        <v>105</v>
      </c>
      <c r="Q32" s="7">
        <v>2</v>
      </c>
      <c r="R32" s="7">
        <v>0</v>
      </c>
      <c r="S32" s="7">
        <v>330000</v>
      </c>
      <c r="T32" s="7" t="s">
        <v>106</v>
      </c>
      <c r="U32" s="7" t="s">
        <v>107</v>
      </c>
    </row>
    <row r="33" spans="2:21" x14ac:dyDescent="0.3">
      <c r="B33" s="5" t="s">
        <v>56</v>
      </c>
      <c r="C33" s="6" t="s">
        <v>24</v>
      </c>
      <c r="D33" s="7" t="s">
        <v>126</v>
      </c>
      <c r="E33" s="7" t="s">
        <v>127</v>
      </c>
      <c r="F33" s="8">
        <v>46082</v>
      </c>
      <c r="G33" s="8">
        <v>46086</v>
      </c>
      <c r="H33" s="8">
        <v>46087</v>
      </c>
      <c r="I33" s="8">
        <v>46091</v>
      </c>
      <c r="J33" s="8">
        <v>46092</v>
      </c>
      <c r="K33" s="8">
        <v>46097</v>
      </c>
      <c r="L33" s="8">
        <v>46102</v>
      </c>
      <c r="M33" s="8">
        <v>46104</v>
      </c>
      <c r="N33" s="8">
        <v>46105</v>
      </c>
      <c r="O33" s="7">
        <v>23</v>
      </c>
      <c r="P33" s="7" t="s">
        <v>110</v>
      </c>
      <c r="Q33" s="7">
        <v>4</v>
      </c>
      <c r="R33" s="7">
        <v>5</v>
      </c>
      <c r="S33" s="7">
        <v>590000</v>
      </c>
      <c r="T33" s="7" t="s">
        <v>111</v>
      </c>
      <c r="U33" s="7" t="s">
        <v>118</v>
      </c>
    </row>
    <row r="34" spans="2:21" x14ac:dyDescent="0.3">
      <c r="B34" s="5" t="s">
        <v>57</v>
      </c>
      <c r="C34" s="6" t="s">
        <v>25</v>
      </c>
      <c r="D34" s="7" t="s">
        <v>119</v>
      </c>
      <c r="E34" s="7" t="s">
        <v>120</v>
      </c>
      <c r="F34" s="8">
        <v>46084</v>
      </c>
      <c r="G34" s="8">
        <v>46092</v>
      </c>
      <c r="H34" s="8">
        <v>46093</v>
      </c>
      <c r="I34" s="8">
        <v>46098</v>
      </c>
      <c r="J34" s="8">
        <v>46099</v>
      </c>
      <c r="K34" s="8">
        <v>46105</v>
      </c>
      <c r="L34" s="8">
        <v>46112</v>
      </c>
      <c r="M34" s="8">
        <v>46114</v>
      </c>
      <c r="N34" s="8">
        <v>46115</v>
      </c>
      <c r="O34" s="7">
        <v>31</v>
      </c>
      <c r="P34" s="7" t="s">
        <v>110</v>
      </c>
      <c r="Q34" s="7">
        <v>8</v>
      </c>
      <c r="R34" s="7">
        <v>7</v>
      </c>
      <c r="S34" s="7">
        <v>1450000</v>
      </c>
      <c r="T34" s="7" t="s">
        <v>111</v>
      </c>
      <c r="U34" s="7" t="s">
        <v>112</v>
      </c>
    </row>
    <row r="35" spans="2:21" x14ac:dyDescent="0.3">
      <c r="B35" s="5" t="s">
        <v>58</v>
      </c>
      <c r="C35" s="6" t="s">
        <v>26</v>
      </c>
      <c r="D35" s="7" t="s">
        <v>121</v>
      </c>
      <c r="E35" s="7" t="s">
        <v>109</v>
      </c>
      <c r="F35" s="8">
        <v>46086</v>
      </c>
      <c r="G35" s="8">
        <v>46088</v>
      </c>
      <c r="H35" s="8">
        <v>46089</v>
      </c>
      <c r="I35" s="8">
        <v>46092</v>
      </c>
      <c r="J35" s="8">
        <v>46093</v>
      </c>
      <c r="K35" s="8">
        <v>46096</v>
      </c>
      <c r="L35" s="8">
        <v>46099</v>
      </c>
      <c r="M35" s="8">
        <v>46100</v>
      </c>
      <c r="N35" s="8">
        <v>46101</v>
      </c>
      <c r="O35" s="7">
        <v>15</v>
      </c>
      <c r="P35" s="7" t="s">
        <v>105</v>
      </c>
      <c r="Q35" s="7">
        <v>2</v>
      </c>
      <c r="R35" s="7">
        <v>1</v>
      </c>
      <c r="S35" s="7">
        <v>690000</v>
      </c>
      <c r="T35" s="7" t="s">
        <v>106</v>
      </c>
      <c r="U35" s="7" t="s">
        <v>107</v>
      </c>
    </row>
    <row r="36" spans="2:21" x14ac:dyDescent="0.3">
      <c r="B36" s="5" t="s">
        <v>59</v>
      </c>
      <c r="C36" s="6" t="s">
        <v>27</v>
      </c>
      <c r="D36" s="7" t="s">
        <v>122</v>
      </c>
      <c r="E36" s="7" t="s">
        <v>123</v>
      </c>
      <c r="F36" s="8">
        <v>46089</v>
      </c>
      <c r="G36" s="8">
        <v>46091</v>
      </c>
      <c r="H36" s="8">
        <v>46092</v>
      </c>
      <c r="I36" s="8">
        <v>46094</v>
      </c>
      <c r="J36" s="8">
        <v>46095</v>
      </c>
      <c r="K36" s="8">
        <v>46098</v>
      </c>
      <c r="L36" s="8">
        <v>46101</v>
      </c>
      <c r="M36" s="8">
        <v>46102</v>
      </c>
      <c r="N36" s="8">
        <v>46103</v>
      </c>
      <c r="O36" s="7">
        <v>14</v>
      </c>
      <c r="P36" s="7" t="s">
        <v>105</v>
      </c>
      <c r="Q36" s="7">
        <v>2</v>
      </c>
      <c r="R36" s="7">
        <v>0</v>
      </c>
      <c r="S36" s="7">
        <v>210000</v>
      </c>
      <c r="T36" s="7" t="s">
        <v>106</v>
      </c>
      <c r="U36" s="7" t="s">
        <v>107</v>
      </c>
    </row>
    <row r="37" spans="2:21" x14ac:dyDescent="0.3">
      <c r="B37" s="5" t="s">
        <v>60</v>
      </c>
      <c r="C37" s="6" t="s">
        <v>20</v>
      </c>
      <c r="D37" s="7" t="s">
        <v>103</v>
      </c>
      <c r="E37" s="7" t="s">
        <v>104</v>
      </c>
      <c r="F37" s="8">
        <v>46091</v>
      </c>
      <c r="G37" s="8">
        <v>46098</v>
      </c>
      <c r="H37" s="8">
        <v>46099</v>
      </c>
      <c r="I37" s="8">
        <v>46103</v>
      </c>
      <c r="J37" s="8">
        <v>46104</v>
      </c>
      <c r="K37" s="8">
        <v>46110</v>
      </c>
      <c r="L37" s="8">
        <v>46117</v>
      </c>
      <c r="M37" s="8">
        <v>46119</v>
      </c>
      <c r="N37" s="8">
        <v>46120</v>
      </c>
      <c r="O37" s="7">
        <v>29</v>
      </c>
      <c r="P37" s="7" t="s">
        <v>110</v>
      </c>
      <c r="Q37" s="7">
        <v>7</v>
      </c>
      <c r="R37" s="7">
        <v>7</v>
      </c>
      <c r="S37" s="7">
        <v>1120000</v>
      </c>
      <c r="T37" s="7" t="s">
        <v>111</v>
      </c>
      <c r="U37" s="7" t="s">
        <v>112</v>
      </c>
    </row>
    <row r="38" spans="2:21" x14ac:dyDescent="0.3">
      <c r="B38" s="5" t="s">
        <v>61</v>
      </c>
      <c r="C38" s="6" t="s">
        <v>21</v>
      </c>
      <c r="D38" s="7" t="s">
        <v>108</v>
      </c>
      <c r="E38" s="7" t="s">
        <v>109</v>
      </c>
      <c r="F38" s="8">
        <v>46093</v>
      </c>
      <c r="G38" s="8">
        <v>46096</v>
      </c>
      <c r="H38" s="8">
        <v>46097</v>
      </c>
      <c r="I38" s="8">
        <v>46100</v>
      </c>
      <c r="J38" s="8">
        <v>46101</v>
      </c>
      <c r="K38" s="8">
        <v>46105</v>
      </c>
      <c r="L38" s="8">
        <v>46108</v>
      </c>
      <c r="M38" s="8">
        <v>46109</v>
      </c>
      <c r="N38" s="8">
        <v>46110</v>
      </c>
      <c r="O38" s="7">
        <v>17</v>
      </c>
      <c r="P38" s="7" t="s">
        <v>105</v>
      </c>
      <c r="Q38" s="7">
        <v>3</v>
      </c>
      <c r="R38" s="7">
        <v>2</v>
      </c>
      <c r="S38" s="7">
        <v>780000</v>
      </c>
      <c r="T38" s="7" t="s">
        <v>106</v>
      </c>
      <c r="U38" s="7" t="s">
        <v>118</v>
      </c>
    </row>
    <row r="39" spans="2:21" x14ac:dyDescent="0.3">
      <c r="B39" s="5" t="s">
        <v>62</v>
      </c>
      <c r="C39" s="6" t="s">
        <v>22</v>
      </c>
      <c r="D39" s="7" t="s">
        <v>124</v>
      </c>
      <c r="E39" s="7" t="s">
        <v>125</v>
      </c>
      <c r="F39" s="8">
        <v>46096</v>
      </c>
      <c r="G39" s="8">
        <v>46100</v>
      </c>
      <c r="H39" s="8">
        <v>46101</v>
      </c>
      <c r="I39" s="8">
        <v>46105</v>
      </c>
      <c r="J39" s="8">
        <v>46106</v>
      </c>
      <c r="K39" s="8">
        <v>46111</v>
      </c>
      <c r="L39" s="8">
        <v>46117</v>
      </c>
      <c r="M39" s="8">
        <v>46119</v>
      </c>
      <c r="N39" s="8">
        <v>46120</v>
      </c>
      <c r="O39" s="7">
        <v>24</v>
      </c>
      <c r="P39" s="7" t="s">
        <v>110</v>
      </c>
      <c r="Q39" s="7">
        <v>4</v>
      </c>
      <c r="R39" s="7">
        <v>6</v>
      </c>
      <c r="S39" s="7">
        <v>510000</v>
      </c>
      <c r="T39" s="7" t="s">
        <v>111</v>
      </c>
      <c r="U39" s="7" t="s">
        <v>118</v>
      </c>
    </row>
    <row r="40" spans="2:21" x14ac:dyDescent="0.3">
      <c r="B40" s="5" t="s">
        <v>63</v>
      </c>
      <c r="C40" s="6" t="s">
        <v>23</v>
      </c>
      <c r="D40" s="7" t="s">
        <v>113</v>
      </c>
      <c r="E40" s="7" t="s">
        <v>114</v>
      </c>
      <c r="F40" s="8">
        <v>46099</v>
      </c>
      <c r="G40" s="8">
        <v>46101</v>
      </c>
      <c r="H40" s="8">
        <v>46102</v>
      </c>
      <c r="I40" s="8">
        <v>46104</v>
      </c>
      <c r="J40" s="8">
        <v>46105</v>
      </c>
      <c r="K40" s="8">
        <v>46108</v>
      </c>
      <c r="L40" s="8">
        <v>46111</v>
      </c>
      <c r="M40" s="8">
        <v>46112</v>
      </c>
      <c r="N40" s="8">
        <v>46113</v>
      </c>
      <c r="O40" s="7">
        <v>14</v>
      </c>
      <c r="P40" s="7" t="s">
        <v>105</v>
      </c>
      <c r="Q40" s="7">
        <v>2</v>
      </c>
      <c r="R40" s="7">
        <v>0</v>
      </c>
      <c r="S40" s="7">
        <v>350000</v>
      </c>
      <c r="T40" s="7" t="s">
        <v>106</v>
      </c>
      <c r="U40" s="7" t="s">
        <v>107</v>
      </c>
    </row>
    <row r="41" spans="2:21" x14ac:dyDescent="0.3">
      <c r="B41" s="5" t="s">
        <v>64</v>
      </c>
      <c r="C41" s="6" t="s">
        <v>24</v>
      </c>
      <c r="D41" s="7" t="s">
        <v>117</v>
      </c>
      <c r="E41" s="7" t="s">
        <v>127</v>
      </c>
      <c r="F41" s="8">
        <v>46101</v>
      </c>
      <c r="G41" s="8">
        <v>46106</v>
      </c>
      <c r="H41" s="8">
        <v>46107</v>
      </c>
      <c r="I41" s="8">
        <v>46111</v>
      </c>
      <c r="J41" s="8">
        <v>46112</v>
      </c>
      <c r="K41" s="8">
        <v>46117</v>
      </c>
      <c r="L41" s="8">
        <v>46123</v>
      </c>
      <c r="M41" s="8">
        <v>46125</v>
      </c>
      <c r="N41" s="8">
        <v>46126</v>
      </c>
      <c r="O41" s="7">
        <v>25</v>
      </c>
      <c r="P41" s="7" t="s">
        <v>110</v>
      </c>
      <c r="Q41" s="7">
        <v>5</v>
      </c>
      <c r="R41" s="7">
        <v>6</v>
      </c>
      <c r="S41" s="7">
        <v>620000</v>
      </c>
      <c r="T41" s="7" t="s">
        <v>111</v>
      </c>
      <c r="U41" s="7" t="s">
        <v>118</v>
      </c>
    </row>
    <row r="42" spans="2:21" x14ac:dyDescent="0.3">
      <c r="B42" s="5" t="s">
        <v>65</v>
      </c>
      <c r="C42" s="6" t="s">
        <v>25</v>
      </c>
      <c r="D42" s="7" t="s">
        <v>119</v>
      </c>
      <c r="E42" s="7" t="s">
        <v>120</v>
      </c>
      <c r="F42" s="8">
        <v>46103</v>
      </c>
      <c r="G42" s="8">
        <v>46111</v>
      </c>
      <c r="H42" s="8">
        <v>46112</v>
      </c>
      <c r="I42" s="8">
        <v>46117</v>
      </c>
      <c r="J42" s="8">
        <v>46118</v>
      </c>
      <c r="K42" s="8">
        <v>46125</v>
      </c>
      <c r="L42" s="8">
        <v>46133</v>
      </c>
      <c r="M42" s="8">
        <v>46135</v>
      </c>
      <c r="N42" s="8">
        <v>46136</v>
      </c>
      <c r="O42" s="7">
        <v>33</v>
      </c>
      <c r="P42" s="7" t="s">
        <v>110</v>
      </c>
      <c r="Q42" s="7">
        <v>8</v>
      </c>
      <c r="R42" s="7">
        <v>8</v>
      </c>
      <c r="S42" s="7">
        <v>1550000</v>
      </c>
      <c r="T42" s="7" t="s">
        <v>111</v>
      </c>
      <c r="U42" s="7" t="s">
        <v>112</v>
      </c>
    </row>
    <row r="43" spans="2:21" x14ac:dyDescent="0.3">
      <c r="B43" s="5" t="s">
        <v>66</v>
      </c>
      <c r="C43" s="6" t="s">
        <v>26</v>
      </c>
      <c r="D43" s="7" t="s">
        <v>121</v>
      </c>
      <c r="E43" s="7" t="s">
        <v>109</v>
      </c>
      <c r="F43" s="8">
        <v>46106</v>
      </c>
      <c r="G43" s="8">
        <v>46108</v>
      </c>
      <c r="H43" s="8">
        <v>46109</v>
      </c>
      <c r="I43" s="8">
        <v>46112</v>
      </c>
      <c r="J43" s="8">
        <v>46113</v>
      </c>
      <c r="K43" s="8">
        <v>46116</v>
      </c>
      <c r="L43" s="8">
        <v>46119</v>
      </c>
      <c r="M43" s="8">
        <v>46120</v>
      </c>
      <c r="N43" s="8">
        <v>46121</v>
      </c>
      <c r="O43" s="7">
        <v>15</v>
      </c>
      <c r="P43" s="7" t="s">
        <v>105</v>
      </c>
      <c r="Q43" s="7">
        <v>2</v>
      </c>
      <c r="R43" s="7">
        <v>1</v>
      </c>
      <c r="S43" s="7">
        <v>720000</v>
      </c>
      <c r="T43" s="7" t="s">
        <v>106</v>
      </c>
      <c r="U43" s="7" t="s">
        <v>107</v>
      </c>
    </row>
    <row r="44" spans="2:21" x14ac:dyDescent="0.3">
      <c r="B44" s="5" t="s">
        <v>67</v>
      </c>
      <c r="C44" s="6" t="s">
        <v>27</v>
      </c>
      <c r="D44" s="7" t="s">
        <v>122</v>
      </c>
      <c r="E44" s="7" t="s">
        <v>123</v>
      </c>
      <c r="F44" s="8">
        <v>46109</v>
      </c>
      <c r="G44" s="8">
        <v>46111</v>
      </c>
      <c r="H44" s="8">
        <v>46112</v>
      </c>
      <c r="I44" s="8">
        <v>46114</v>
      </c>
      <c r="J44" s="8">
        <v>46115</v>
      </c>
      <c r="K44" s="8">
        <v>46118</v>
      </c>
      <c r="L44" s="8">
        <v>46121</v>
      </c>
      <c r="M44" s="8">
        <v>46122</v>
      </c>
      <c r="N44" s="8">
        <v>46123</v>
      </c>
      <c r="O44" s="7">
        <v>14</v>
      </c>
      <c r="P44" s="7" t="s">
        <v>105</v>
      </c>
      <c r="Q44" s="7">
        <v>2</v>
      </c>
      <c r="R44" s="7">
        <v>0</v>
      </c>
      <c r="S44" s="7">
        <v>230000</v>
      </c>
      <c r="T44" s="7" t="s">
        <v>106</v>
      </c>
      <c r="U44" s="7" t="s">
        <v>107</v>
      </c>
    </row>
    <row r="45" spans="2:21" x14ac:dyDescent="0.3">
      <c r="B45" s="5" t="s">
        <v>68</v>
      </c>
      <c r="C45" s="6" t="s">
        <v>20</v>
      </c>
      <c r="D45" s="7" t="s">
        <v>115</v>
      </c>
      <c r="E45" s="7" t="s">
        <v>104</v>
      </c>
      <c r="F45" s="8">
        <v>46113</v>
      </c>
      <c r="G45" s="8">
        <v>46120</v>
      </c>
      <c r="H45" s="8">
        <v>46121</v>
      </c>
      <c r="I45" s="8">
        <v>46125</v>
      </c>
      <c r="J45" s="8">
        <v>46126</v>
      </c>
      <c r="K45" s="8">
        <v>46132</v>
      </c>
      <c r="L45" s="8">
        <v>46139</v>
      </c>
      <c r="M45" s="8">
        <v>46141</v>
      </c>
      <c r="N45" s="8">
        <v>46142</v>
      </c>
      <c r="O45" s="7">
        <v>29</v>
      </c>
      <c r="P45" s="7" t="s">
        <v>110</v>
      </c>
      <c r="Q45" s="7">
        <v>7</v>
      </c>
      <c r="R45" s="7">
        <v>7</v>
      </c>
      <c r="S45" s="7">
        <v>1180000</v>
      </c>
      <c r="T45" s="7" t="s">
        <v>111</v>
      </c>
      <c r="U45" s="7" t="s">
        <v>112</v>
      </c>
    </row>
    <row r="46" spans="2:21" x14ac:dyDescent="0.3">
      <c r="B46" s="5" t="s">
        <v>69</v>
      </c>
      <c r="C46" s="6" t="s">
        <v>21</v>
      </c>
      <c r="D46" s="7" t="s">
        <v>108</v>
      </c>
      <c r="E46" s="7" t="s">
        <v>109</v>
      </c>
      <c r="F46" s="8">
        <v>46115</v>
      </c>
      <c r="G46" s="8">
        <v>46118</v>
      </c>
      <c r="H46" s="8">
        <v>46119</v>
      </c>
      <c r="I46" s="8">
        <v>46122</v>
      </c>
      <c r="J46" s="8">
        <v>46123</v>
      </c>
      <c r="K46" s="8">
        <v>46127</v>
      </c>
      <c r="L46" s="8">
        <v>46130</v>
      </c>
      <c r="M46" s="8">
        <v>46131</v>
      </c>
      <c r="N46" s="8">
        <v>46132</v>
      </c>
      <c r="O46" s="7">
        <v>17</v>
      </c>
      <c r="P46" s="7" t="s">
        <v>105</v>
      </c>
      <c r="Q46" s="7">
        <v>3</v>
      </c>
      <c r="R46" s="7">
        <v>2</v>
      </c>
      <c r="S46" s="7">
        <v>800000</v>
      </c>
      <c r="T46" s="7" t="s">
        <v>106</v>
      </c>
      <c r="U46" s="7" t="s">
        <v>118</v>
      </c>
    </row>
    <row r="47" spans="2:21" x14ac:dyDescent="0.3">
      <c r="B47" s="5" t="s">
        <v>70</v>
      </c>
      <c r="C47" s="6" t="s">
        <v>22</v>
      </c>
      <c r="D47" s="7" t="s">
        <v>124</v>
      </c>
      <c r="E47" s="7" t="s">
        <v>125</v>
      </c>
      <c r="F47" s="8">
        <v>46117</v>
      </c>
      <c r="G47" s="8">
        <v>46121</v>
      </c>
      <c r="H47" s="8">
        <v>46122</v>
      </c>
      <c r="I47" s="8">
        <v>46126</v>
      </c>
      <c r="J47" s="8">
        <v>46127</v>
      </c>
      <c r="K47" s="8">
        <v>46132</v>
      </c>
      <c r="L47" s="8">
        <v>46138</v>
      </c>
      <c r="M47" s="8">
        <v>46140</v>
      </c>
      <c r="N47" s="8">
        <v>46141</v>
      </c>
      <c r="O47" s="7">
        <v>24</v>
      </c>
      <c r="P47" s="7" t="s">
        <v>110</v>
      </c>
      <c r="Q47" s="7">
        <v>4</v>
      </c>
      <c r="R47" s="7">
        <v>6</v>
      </c>
      <c r="S47" s="7">
        <v>530000</v>
      </c>
      <c r="T47" s="7" t="s">
        <v>111</v>
      </c>
      <c r="U47" s="7" t="s">
        <v>118</v>
      </c>
    </row>
    <row r="48" spans="2:21" x14ac:dyDescent="0.3">
      <c r="B48" s="5" t="s">
        <v>71</v>
      </c>
      <c r="C48" s="6" t="s">
        <v>23</v>
      </c>
      <c r="D48" s="7" t="s">
        <v>113</v>
      </c>
      <c r="E48" s="7" t="s">
        <v>114</v>
      </c>
      <c r="F48" s="8">
        <v>46120</v>
      </c>
      <c r="G48" s="8">
        <v>46122</v>
      </c>
      <c r="H48" s="8">
        <v>46123</v>
      </c>
      <c r="I48" s="8">
        <v>46125</v>
      </c>
      <c r="J48" s="8">
        <v>46126</v>
      </c>
      <c r="K48" s="8">
        <v>46129</v>
      </c>
      <c r="L48" s="8">
        <v>46132</v>
      </c>
      <c r="M48" s="8">
        <v>46133</v>
      </c>
      <c r="N48" s="8">
        <v>46134</v>
      </c>
      <c r="O48" s="7">
        <v>14</v>
      </c>
      <c r="P48" s="7" t="s">
        <v>105</v>
      </c>
      <c r="Q48" s="7">
        <v>2</v>
      </c>
      <c r="R48" s="7">
        <v>0</v>
      </c>
      <c r="S48" s="7">
        <v>370000</v>
      </c>
      <c r="T48" s="7" t="s">
        <v>106</v>
      </c>
      <c r="U48" s="7" t="s">
        <v>107</v>
      </c>
    </row>
    <row r="49" spans="2:21" x14ac:dyDescent="0.3">
      <c r="B49" s="5" t="s">
        <v>72</v>
      </c>
      <c r="C49" s="6" t="s">
        <v>24</v>
      </c>
      <c r="D49" s="7" t="s">
        <v>126</v>
      </c>
      <c r="E49" s="7" t="s">
        <v>127</v>
      </c>
      <c r="F49" s="8">
        <v>46122</v>
      </c>
      <c r="G49" s="8">
        <v>46127</v>
      </c>
      <c r="H49" s="8">
        <v>46128</v>
      </c>
      <c r="I49" s="8">
        <v>46132</v>
      </c>
      <c r="J49" s="8">
        <v>46133</v>
      </c>
      <c r="K49" s="8">
        <v>46138</v>
      </c>
      <c r="L49" s="8">
        <v>46144</v>
      </c>
      <c r="M49" s="8">
        <v>46146</v>
      </c>
      <c r="N49" s="8">
        <v>46147</v>
      </c>
      <c r="O49" s="7">
        <v>25</v>
      </c>
      <c r="P49" s="7" t="s">
        <v>110</v>
      </c>
      <c r="Q49" s="7">
        <v>5</v>
      </c>
      <c r="R49" s="7">
        <v>6</v>
      </c>
      <c r="S49" s="7">
        <v>650000</v>
      </c>
      <c r="T49" s="7" t="s">
        <v>111</v>
      </c>
      <c r="U49" s="7" t="s">
        <v>118</v>
      </c>
    </row>
    <row r="50" spans="2:21" x14ac:dyDescent="0.3">
      <c r="B50" s="5" t="s">
        <v>73</v>
      </c>
      <c r="C50" s="6" t="s">
        <v>25</v>
      </c>
      <c r="D50" s="7" t="s">
        <v>119</v>
      </c>
      <c r="E50" s="7" t="s">
        <v>120</v>
      </c>
      <c r="F50" s="8">
        <v>46124</v>
      </c>
      <c r="G50" s="8">
        <v>46132</v>
      </c>
      <c r="H50" s="8">
        <v>46133</v>
      </c>
      <c r="I50" s="8">
        <v>46138</v>
      </c>
      <c r="J50" s="8">
        <v>46139</v>
      </c>
      <c r="K50" s="8">
        <v>46146</v>
      </c>
      <c r="L50" s="8">
        <v>46154</v>
      </c>
      <c r="M50" s="8">
        <v>46156</v>
      </c>
      <c r="N50" s="8">
        <v>46157</v>
      </c>
      <c r="O50" s="7">
        <v>33</v>
      </c>
      <c r="P50" s="7" t="s">
        <v>110</v>
      </c>
      <c r="Q50" s="7">
        <v>8</v>
      </c>
      <c r="R50" s="7">
        <v>8</v>
      </c>
      <c r="S50" s="7">
        <v>1600000</v>
      </c>
      <c r="T50" s="7" t="s">
        <v>111</v>
      </c>
      <c r="U50" s="7" t="s">
        <v>112</v>
      </c>
    </row>
    <row r="51" spans="2:21" x14ac:dyDescent="0.3">
      <c r="B51" s="5" t="s">
        <v>74</v>
      </c>
      <c r="C51" s="6" t="s">
        <v>26</v>
      </c>
      <c r="D51" s="7" t="s">
        <v>121</v>
      </c>
      <c r="E51" s="7" t="s">
        <v>109</v>
      </c>
      <c r="F51" s="8">
        <v>46127</v>
      </c>
      <c r="G51" s="8">
        <v>46129</v>
      </c>
      <c r="H51" s="8">
        <v>46130</v>
      </c>
      <c r="I51" s="8">
        <v>46133</v>
      </c>
      <c r="J51" s="8">
        <v>46134</v>
      </c>
      <c r="K51" s="8">
        <v>46137</v>
      </c>
      <c r="L51" s="8">
        <v>46140</v>
      </c>
      <c r="M51" s="8">
        <v>46141</v>
      </c>
      <c r="N51" s="8">
        <v>46142</v>
      </c>
      <c r="O51" s="7">
        <v>15</v>
      </c>
      <c r="P51" s="7" t="s">
        <v>105</v>
      </c>
      <c r="Q51" s="7">
        <v>2</v>
      </c>
      <c r="R51" s="7">
        <v>1</v>
      </c>
      <c r="S51" s="7">
        <v>740000</v>
      </c>
      <c r="T51" s="7" t="s">
        <v>106</v>
      </c>
      <c r="U51" s="7" t="s">
        <v>107</v>
      </c>
    </row>
    <row r="52" spans="2:21" x14ac:dyDescent="0.3">
      <c r="B52" s="5" t="s">
        <v>75</v>
      </c>
      <c r="C52" s="6" t="s">
        <v>27</v>
      </c>
      <c r="D52" s="7" t="s">
        <v>122</v>
      </c>
      <c r="E52" s="7" t="s">
        <v>123</v>
      </c>
      <c r="F52" s="8">
        <v>46130</v>
      </c>
      <c r="G52" s="8">
        <v>46132</v>
      </c>
      <c r="H52" s="8">
        <v>46133</v>
      </c>
      <c r="I52" s="8">
        <v>46135</v>
      </c>
      <c r="J52" s="8">
        <v>46136</v>
      </c>
      <c r="K52" s="8">
        <v>46139</v>
      </c>
      <c r="L52" s="8">
        <v>46142</v>
      </c>
      <c r="M52" s="8">
        <v>46143</v>
      </c>
      <c r="N52" s="8">
        <v>46144</v>
      </c>
      <c r="O52" s="7">
        <v>14</v>
      </c>
      <c r="P52" s="7" t="s">
        <v>105</v>
      </c>
      <c r="Q52" s="7">
        <v>2</v>
      </c>
      <c r="R52" s="7">
        <v>0</v>
      </c>
      <c r="S52" s="7">
        <v>240000</v>
      </c>
      <c r="T52" s="7" t="s">
        <v>106</v>
      </c>
      <c r="U52" s="7" t="s">
        <v>107</v>
      </c>
    </row>
    <row r="53" spans="2:21" x14ac:dyDescent="0.3">
      <c r="B53" s="5" t="s">
        <v>76</v>
      </c>
      <c r="C53" s="6" t="s">
        <v>20</v>
      </c>
      <c r="D53" s="7" t="s">
        <v>103</v>
      </c>
      <c r="E53" s="7" t="s">
        <v>104</v>
      </c>
      <c r="F53" s="8">
        <v>46132</v>
      </c>
      <c r="G53" s="8">
        <v>46139</v>
      </c>
      <c r="H53" s="8">
        <v>46140</v>
      </c>
      <c r="I53" s="8">
        <v>46144</v>
      </c>
      <c r="J53" s="8">
        <v>46145</v>
      </c>
      <c r="K53" s="8">
        <v>46151</v>
      </c>
      <c r="L53" s="8">
        <v>46158</v>
      </c>
      <c r="M53" s="8">
        <v>46160</v>
      </c>
      <c r="N53" s="8">
        <v>46161</v>
      </c>
      <c r="O53" s="7">
        <v>29</v>
      </c>
      <c r="P53" s="7" t="s">
        <v>110</v>
      </c>
      <c r="Q53" s="7">
        <v>7</v>
      </c>
      <c r="R53" s="7">
        <v>7</v>
      </c>
      <c r="S53" s="7">
        <v>1220000</v>
      </c>
      <c r="T53" s="7" t="s">
        <v>111</v>
      </c>
      <c r="U53" s="7" t="s">
        <v>112</v>
      </c>
    </row>
    <row r="54" spans="2:21" x14ac:dyDescent="0.3">
      <c r="B54" s="5" t="s">
        <v>77</v>
      </c>
      <c r="C54" s="6" t="s">
        <v>21</v>
      </c>
      <c r="D54" s="7" t="s">
        <v>108</v>
      </c>
      <c r="E54" s="7" t="s">
        <v>109</v>
      </c>
      <c r="F54" s="8">
        <v>46134</v>
      </c>
      <c r="G54" s="8">
        <v>46137</v>
      </c>
      <c r="H54" s="8">
        <v>46138</v>
      </c>
      <c r="I54" s="8">
        <v>46141</v>
      </c>
      <c r="J54" s="8">
        <v>46142</v>
      </c>
      <c r="K54" s="8">
        <v>46146</v>
      </c>
      <c r="L54" s="8">
        <v>46149</v>
      </c>
      <c r="M54" s="8">
        <v>46150</v>
      </c>
      <c r="N54" s="8">
        <v>46151</v>
      </c>
      <c r="O54" s="7">
        <v>17</v>
      </c>
      <c r="P54" s="7" t="s">
        <v>105</v>
      </c>
      <c r="Q54" s="7">
        <v>3</v>
      </c>
      <c r="R54" s="7">
        <v>2</v>
      </c>
      <c r="S54" s="7">
        <v>820000</v>
      </c>
      <c r="T54" s="7" t="s">
        <v>106</v>
      </c>
      <c r="U54" s="7" t="s">
        <v>118</v>
      </c>
    </row>
    <row r="55" spans="2:21" x14ac:dyDescent="0.3">
      <c r="B55" s="5" t="s">
        <v>78</v>
      </c>
      <c r="C55" s="6" t="s">
        <v>22</v>
      </c>
      <c r="D55" s="7" t="s">
        <v>124</v>
      </c>
      <c r="E55" s="7" t="s">
        <v>125</v>
      </c>
      <c r="F55" s="8">
        <v>46137</v>
      </c>
      <c r="G55" s="8">
        <v>46141</v>
      </c>
      <c r="H55" s="8">
        <v>46142</v>
      </c>
      <c r="I55" s="8">
        <v>46146</v>
      </c>
      <c r="J55" s="8">
        <v>46147</v>
      </c>
      <c r="K55" s="8">
        <v>46152</v>
      </c>
      <c r="L55" s="8">
        <v>46158</v>
      </c>
      <c r="M55" s="8">
        <v>46160</v>
      </c>
      <c r="N55" s="8">
        <v>46161</v>
      </c>
      <c r="O55" s="7">
        <v>24</v>
      </c>
      <c r="P55" s="7" t="s">
        <v>110</v>
      </c>
      <c r="Q55" s="7">
        <v>4</v>
      </c>
      <c r="R55" s="7">
        <v>6</v>
      </c>
      <c r="S55" s="7">
        <v>550000</v>
      </c>
      <c r="T55" s="7" t="s">
        <v>111</v>
      </c>
      <c r="U55" s="7" t="s">
        <v>118</v>
      </c>
    </row>
    <row r="56" spans="2:21" x14ac:dyDescent="0.3">
      <c r="B56" s="5" t="s">
        <v>79</v>
      </c>
      <c r="C56" s="6" t="s">
        <v>23</v>
      </c>
      <c r="D56" s="7" t="s">
        <v>113</v>
      </c>
      <c r="E56" s="7" t="s">
        <v>114</v>
      </c>
      <c r="F56" s="8">
        <v>46140</v>
      </c>
      <c r="G56" s="8">
        <v>46142</v>
      </c>
      <c r="H56" s="8">
        <v>46143</v>
      </c>
      <c r="I56" s="8">
        <v>46145</v>
      </c>
      <c r="J56" s="8">
        <v>46146</v>
      </c>
      <c r="K56" s="8">
        <v>46149</v>
      </c>
      <c r="L56" s="8">
        <v>46152</v>
      </c>
      <c r="M56" s="8">
        <v>46153</v>
      </c>
      <c r="N56" s="8">
        <v>46154</v>
      </c>
      <c r="O56" s="7">
        <v>14</v>
      </c>
      <c r="P56" s="7" t="s">
        <v>105</v>
      </c>
      <c r="Q56" s="7">
        <v>2</v>
      </c>
      <c r="R56" s="7">
        <v>0</v>
      </c>
      <c r="S56" s="7">
        <v>390000</v>
      </c>
      <c r="T56" s="7" t="s">
        <v>106</v>
      </c>
      <c r="U56" s="7" t="s">
        <v>107</v>
      </c>
    </row>
    <row r="57" spans="2:21" x14ac:dyDescent="0.3">
      <c r="B57" s="5" t="s">
        <v>80</v>
      </c>
      <c r="C57" s="6" t="s">
        <v>24</v>
      </c>
      <c r="D57" s="7" t="s">
        <v>117</v>
      </c>
      <c r="E57" s="7" t="s">
        <v>127</v>
      </c>
      <c r="F57" s="8">
        <v>46143</v>
      </c>
      <c r="G57" s="8">
        <v>46148</v>
      </c>
      <c r="H57" s="8">
        <v>46149</v>
      </c>
      <c r="I57" s="8">
        <v>46153</v>
      </c>
      <c r="J57" s="8">
        <v>46154</v>
      </c>
      <c r="K57" s="8">
        <v>46159</v>
      </c>
      <c r="L57" s="8">
        <v>46165</v>
      </c>
      <c r="M57" s="8">
        <v>46167</v>
      </c>
      <c r="N57" s="8">
        <v>46168</v>
      </c>
      <c r="O57" s="7">
        <v>25</v>
      </c>
      <c r="P57" s="7" t="s">
        <v>110</v>
      </c>
      <c r="Q57" s="7">
        <v>5</v>
      </c>
      <c r="R57" s="7">
        <v>6</v>
      </c>
      <c r="S57" s="7">
        <v>680000</v>
      </c>
      <c r="T57" s="7" t="s">
        <v>111</v>
      </c>
      <c r="U57" s="7" t="s">
        <v>118</v>
      </c>
    </row>
    <row r="58" spans="2:21" x14ac:dyDescent="0.3">
      <c r="B58" s="5" t="s">
        <v>81</v>
      </c>
      <c r="C58" s="6" t="s">
        <v>25</v>
      </c>
      <c r="D58" s="7" t="s">
        <v>119</v>
      </c>
      <c r="E58" s="7" t="s">
        <v>120</v>
      </c>
      <c r="F58" s="8">
        <v>46145</v>
      </c>
      <c r="G58" s="8">
        <v>46153</v>
      </c>
      <c r="H58" s="8">
        <v>46154</v>
      </c>
      <c r="I58" s="8">
        <v>46159</v>
      </c>
      <c r="J58" s="8">
        <v>46160</v>
      </c>
      <c r="K58" s="8">
        <v>46167</v>
      </c>
      <c r="L58" s="8">
        <v>46175</v>
      </c>
      <c r="M58" s="8">
        <v>46177</v>
      </c>
      <c r="N58" s="8">
        <v>46178</v>
      </c>
      <c r="O58" s="7">
        <v>33</v>
      </c>
      <c r="P58" s="7" t="s">
        <v>110</v>
      </c>
      <c r="Q58" s="7">
        <v>8</v>
      </c>
      <c r="R58" s="7">
        <v>8</v>
      </c>
      <c r="S58" s="7">
        <v>1650000</v>
      </c>
      <c r="T58" s="7" t="s">
        <v>111</v>
      </c>
      <c r="U58" s="7" t="s">
        <v>112</v>
      </c>
    </row>
    <row r="59" spans="2:21" x14ac:dyDescent="0.3">
      <c r="B59" s="5" t="s">
        <v>82</v>
      </c>
      <c r="C59" s="6" t="s">
        <v>26</v>
      </c>
      <c r="D59" s="7" t="s">
        <v>121</v>
      </c>
      <c r="E59" s="7" t="s">
        <v>109</v>
      </c>
      <c r="F59" s="8">
        <v>46147</v>
      </c>
      <c r="G59" s="8">
        <v>46149</v>
      </c>
      <c r="H59" s="8">
        <v>46150</v>
      </c>
      <c r="I59" s="8">
        <v>46153</v>
      </c>
      <c r="J59" s="8">
        <v>46154</v>
      </c>
      <c r="K59" s="8">
        <v>46157</v>
      </c>
      <c r="L59" s="8">
        <v>46160</v>
      </c>
      <c r="M59" s="8">
        <v>46161</v>
      </c>
      <c r="N59" s="8">
        <v>46162</v>
      </c>
      <c r="O59" s="7">
        <v>15</v>
      </c>
      <c r="P59" s="7" t="s">
        <v>105</v>
      </c>
      <c r="Q59" s="7">
        <v>2</v>
      </c>
      <c r="R59" s="7">
        <v>1</v>
      </c>
      <c r="S59" s="7">
        <v>760000</v>
      </c>
      <c r="T59" s="7" t="s">
        <v>106</v>
      </c>
      <c r="U59" s="7" t="s">
        <v>107</v>
      </c>
    </row>
    <row r="60" spans="2:21" x14ac:dyDescent="0.3">
      <c r="B60" s="5" t="s">
        <v>83</v>
      </c>
      <c r="C60" s="6" t="s">
        <v>27</v>
      </c>
      <c r="D60" s="7" t="s">
        <v>122</v>
      </c>
      <c r="E60" s="7" t="s">
        <v>123</v>
      </c>
      <c r="F60" s="8">
        <v>46150</v>
      </c>
      <c r="G60" s="8">
        <v>46152</v>
      </c>
      <c r="H60" s="8">
        <v>46153</v>
      </c>
      <c r="I60" s="8">
        <v>46155</v>
      </c>
      <c r="J60" s="8">
        <v>46156</v>
      </c>
      <c r="K60" s="8">
        <v>46159</v>
      </c>
      <c r="L60" s="8">
        <v>46162</v>
      </c>
      <c r="M60" s="8">
        <v>46163</v>
      </c>
      <c r="N60" s="8">
        <v>46164</v>
      </c>
      <c r="O60" s="7">
        <v>14</v>
      </c>
      <c r="P60" s="7" t="s">
        <v>105</v>
      </c>
      <c r="Q60" s="7">
        <v>2</v>
      </c>
      <c r="R60" s="7">
        <v>0</v>
      </c>
      <c r="S60" s="7">
        <v>260000</v>
      </c>
      <c r="T60" s="7" t="s">
        <v>106</v>
      </c>
      <c r="U60" s="7" t="s">
        <v>107</v>
      </c>
    </row>
    <row r="61" spans="2:21" x14ac:dyDescent="0.3">
      <c r="B61" s="5" t="s">
        <v>84</v>
      </c>
      <c r="C61" s="6" t="s">
        <v>20</v>
      </c>
      <c r="D61" s="7" t="s">
        <v>115</v>
      </c>
      <c r="E61" s="7" t="s">
        <v>104</v>
      </c>
      <c r="F61" s="8">
        <v>46152</v>
      </c>
      <c r="G61" s="8">
        <v>46159</v>
      </c>
      <c r="H61" s="8">
        <v>46160</v>
      </c>
      <c r="I61" s="8">
        <v>46164</v>
      </c>
      <c r="J61" s="8">
        <v>46165</v>
      </c>
      <c r="K61" s="8">
        <v>46171</v>
      </c>
      <c r="L61" s="8">
        <v>46178</v>
      </c>
      <c r="M61" s="8">
        <v>46180</v>
      </c>
      <c r="N61" s="8">
        <v>46181</v>
      </c>
      <c r="O61" s="7">
        <v>29</v>
      </c>
      <c r="P61" s="7" t="s">
        <v>110</v>
      </c>
      <c r="Q61" s="7">
        <v>7</v>
      </c>
      <c r="R61" s="7">
        <v>7</v>
      </c>
      <c r="S61" s="7">
        <v>1260000</v>
      </c>
      <c r="T61" s="7" t="s">
        <v>111</v>
      </c>
      <c r="U61" s="7" t="s">
        <v>112</v>
      </c>
    </row>
    <row r="62" spans="2:21" x14ac:dyDescent="0.3">
      <c r="B62" s="5" t="s">
        <v>85</v>
      </c>
      <c r="C62" s="6" t="s">
        <v>21</v>
      </c>
      <c r="D62" s="7" t="s">
        <v>108</v>
      </c>
      <c r="E62" s="7" t="s">
        <v>109</v>
      </c>
      <c r="F62" s="8">
        <v>46154</v>
      </c>
      <c r="G62" s="8">
        <v>46157</v>
      </c>
      <c r="H62" s="8">
        <v>46158</v>
      </c>
      <c r="I62" s="8">
        <v>46161</v>
      </c>
      <c r="J62" s="8">
        <v>46162</v>
      </c>
      <c r="K62" s="8">
        <v>46166</v>
      </c>
      <c r="L62" s="8">
        <v>46169</v>
      </c>
      <c r="M62" s="8">
        <v>46170</v>
      </c>
      <c r="N62" s="8">
        <v>46171</v>
      </c>
      <c r="O62" s="7">
        <v>17</v>
      </c>
      <c r="P62" s="7" t="s">
        <v>105</v>
      </c>
      <c r="Q62" s="7">
        <v>3</v>
      </c>
      <c r="R62" s="7">
        <v>2</v>
      </c>
      <c r="S62" s="7">
        <v>850000</v>
      </c>
      <c r="T62" s="7" t="s">
        <v>106</v>
      </c>
      <c r="U62" s="7" t="s">
        <v>118</v>
      </c>
    </row>
    <row r="63" spans="2:21" x14ac:dyDescent="0.3">
      <c r="B63" s="5" t="s">
        <v>86</v>
      </c>
      <c r="C63" s="6" t="s">
        <v>22</v>
      </c>
      <c r="D63" s="7" t="s">
        <v>124</v>
      </c>
      <c r="E63" s="7" t="s">
        <v>125</v>
      </c>
      <c r="F63" s="8">
        <v>46157</v>
      </c>
      <c r="G63" s="8">
        <v>46161</v>
      </c>
      <c r="H63" s="8">
        <v>46162</v>
      </c>
      <c r="I63" s="8">
        <v>46166</v>
      </c>
      <c r="J63" s="8">
        <v>46167</v>
      </c>
      <c r="K63" s="8">
        <v>46172</v>
      </c>
      <c r="L63" s="8">
        <v>46178</v>
      </c>
      <c r="M63" s="8">
        <v>46180</v>
      </c>
      <c r="N63" s="8">
        <v>46181</v>
      </c>
      <c r="O63" s="7">
        <v>24</v>
      </c>
      <c r="P63" s="7" t="s">
        <v>110</v>
      </c>
      <c r="Q63" s="7">
        <v>4</v>
      </c>
      <c r="R63" s="7">
        <v>6</v>
      </c>
      <c r="S63" s="7">
        <v>570000</v>
      </c>
      <c r="T63" s="7" t="s">
        <v>111</v>
      </c>
      <c r="U63" s="7" t="s">
        <v>118</v>
      </c>
    </row>
    <row r="64" spans="2:21" x14ac:dyDescent="0.3">
      <c r="B64" s="5" t="s">
        <v>87</v>
      </c>
      <c r="C64" s="6" t="s">
        <v>23</v>
      </c>
      <c r="D64" s="7" t="s">
        <v>113</v>
      </c>
      <c r="E64" s="7" t="s">
        <v>114</v>
      </c>
      <c r="F64" s="8">
        <v>46160</v>
      </c>
      <c r="G64" s="8">
        <v>46162</v>
      </c>
      <c r="H64" s="8">
        <v>46163</v>
      </c>
      <c r="I64" s="8">
        <v>46165</v>
      </c>
      <c r="J64" s="8">
        <v>46166</v>
      </c>
      <c r="K64" s="8">
        <v>46169</v>
      </c>
      <c r="L64" s="8">
        <v>46172</v>
      </c>
      <c r="M64" s="8">
        <v>46173</v>
      </c>
      <c r="N64" s="8">
        <v>46174</v>
      </c>
      <c r="O64" s="7">
        <v>14</v>
      </c>
      <c r="P64" s="7" t="s">
        <v>105</v>
      </c>
      <c r="Q64" s="7">
        <v>2</v>
      </c>
      <c r="R64" s="7">
        <v>0</v>
      </c>
      <c r="S64" s="7">
        <v>410000</v>
      </c>
      <c r="T64" s="7" t="s">
        <v>106</v>
      </c>
      <c r="U64" s="7" t="s">
        <v>107</v>
      </c>
    </row>
    <row r="65" spans="2:21" x14ac:dyDescent="0.3">
      <c r="B65" s="5" t="s">
        <v>88</v>
      </c>
      <c r="C65" s="6" t="s">
        <v>24</v>
      </c>
      <c r="D65" s="7" t="s">
        <v>126</v>
      </c>
      <c r="E65" s="7" t="s">
        <v>127</v>
      </c>
      <c r="F65" s="8">
        <v>46162</v>
      </c>
      <c r="G65" s="8">
        <v>46167</v>
      </c>
      <c r="H65" s="8">
        <v>46168</v>
      </c>
      <c r="I65" s="8">
        <v>46172</v>
      </c>
      <c r="J65" s="8">
        <v>46173</v>
      </c>
      <c r="K65" s="8">
        <v>46178</v>
      </c>
      <c r="L65" s="8">
        <v>46184</v>
      </c>
      <c r="M65" s="8">
        <v>46186</v>
      </c>
      <c r="N65" s="8">
        <v>46187</v>
      </c>
      <c r="O65" s="7">
        <v>25</v>
      </c>
      <c r="P65" s="7" t="s">
        <v>110</v>
      </c>
      <c r="Q65" s="7">
        <v>5</v>
      </c>
      <c r="R65" s="7">
        <v>6</v>
      </c>
      <c r="S65" s="7">
        <v>700000</v>
      </c>
      <c r="T65" s="7" t="s">
        <v>111</v>
      </c>
      <c r="U65" s="7" t="s">
        <v>118</v>
      </c>
    </row>
    <row r="66" spans="2:21" x14ac:dyDescent="0.3">
      <c r="B66" s="5" t="s">
        <v>89</v>
      </c>
      <c r="C66" s="6" t="s">
        <v>25</v>
      </c>
      <c r="D66" s="7" t="s">
        <v>119</v>
      </c>
      <c r="E66" s="7" t="s">
        <v>120</v>
      </c>
      <c r="F66" s="8">
        <v>46164</v>
      </c>
      <c r="G66" s="8">
        <v>46172</v>
      </c>
      <c r="H66" s="8">
        <v>46173</v>
      </c>
      <c r="I66" s="8">
        <v>46178</v>
      </c>
      <c r="J66" s="8">
        <v>46179</v>
      </c>
      <c r="K66" s="8">
        <v>46186</v>
      </c>
      <c r="L66" s="8">
        <v>46194</v>
      </c>
      <c r="M66" s="8">
        <v>46196</v>
      </c>
      <c r="N66" s="8">
        <v>46197</v>
      </c>
      <c r="O66" s="7">
        <v>33</v>
      </c>
      <c r="P66" s="7" t="s">
        <v>110</v>
      </c>
      <c r="Q66" s="7">
        <v>8</v>
      </c>
      <c r="R66" s="7">
        <v>8</v>
      </c>
      <c r="S66" s="7">
        <v>1700000</v>
      </c>
      <c r="T66" s="7" t="s">
        <v>111</v>
      </c>
      <c r="U66" s="7" t="s">
        <v>112</v>
      </c>
    </row>
    <row r="67" spans="2:21" x14ac:dyDescent="0.3">
      <c r="B67" s="5" t="s">
        <v>90</v>
      </c>
      <c r="C67" s="6" t="s">
        <v>26</v>
      </c>
      <c r="D67" s="7" t="s">
        <v>121</v>
      </c>
      <c r="E67" s="7" t="s">
        <v>109</v>
      </c>
      <c r="F67" s="8">
        <v>46167</v>
      </c>
      <c r="G67" s="8">
        <v>46169</v>
      </c>
      <c r="H67" s="8">
        <v>46170</v>
      </c>
      <c r="I67" s="8">
        <v>46173</v>
      </c>
      <c r="J67" s="8">
        <v>46174</v>
      </c>
      <c r="K67" s="8">
        <v>46177</v>
      </c>
      <c r="L67" s="8">
        <v>46180</v>
      </c>
      <c r="M67" s="8">
        <v>46181</v>
      </c>
      <c r="N67" s="8">
        <v>46182</v>
      </c>
      <c r="O67" s="7">
        <v>15</v>
      </c>
      <c r="P67" s="7" t="s">
        <v>105</v>
      </c>
      <c r="Q67" s="7">
        <v>2</v>
      </c>
      <c r="R67" s="7">
        <v>1</v>
      </c>
      <c r="S67" s="7">
        <v>780000</v>
      </c>
      <c r="T67" s="7" t="s">
        <v>106</v>
      </c>
      <c r="U67" s="7" t="s">
        <v>107</v>
      </c>
    </row>
    <row r="68" spans="2:21" x14ac:dyDescent="0.3">
      <c r="B68" s="5" t="s">
        <v>91</v>
      </c>
      <c r="C68" s="6" t="s">
        <v>27</v>
      </c>
      <c r="D68" s="7" t="s">
        <v>122</v>
      </c>
      <c r="E68" s="7" t="s">
        <v>123</v>
      </c>
      <c r="F68" s="8">
        <v>46170</v>
      </c>
      <c r="G68" s="8">
        <v>46172</v>
      </c>
      <c r="H68" s="8">
        <v>46173</v>
      </c>
      <c r="I68" s="8">
        <v>46175</v>
      </c>
      <c r="J68" s="8">
        <v>46176</v>
      </c>
      <c r="K68" s="8">
        <v>46179</v>
      </c>
      <c r="L68" s="8">
        <v>46182</v>
      </c>
      <c r="M68" s="8">
        <v>46183</v>
      </c>
      <c r="N68" s="8">
        <v>46184</v>
      </c>
      <c r="O68" s="7">
        <v>14</v>
      </c>
      <c r="P68" s="7" t="s">
        <v>105</v>
      </c>
      <c r="Q68" s="7">
        <v>2</v>
      </c>
      <c r="R68" s="7">
        <v>0</v>
      </c>
      <c r="S68" s="7">
        <v>280000</v>
      </c>
      <c r="T68" s="7" t="s">
        <v>106</v>
      </c>
      <c r="U68" s="7" t="s">
        <v>107</v>
      </c>
    </row>
    <row r="69" spans="2:21" x14ac:dyDescent="0.3">
      <c r="B69" s="5" t="s">
        <v>92</v>
      </c>
      <c r="C69" s="6" t="s">
        <v>20</v>
      </c>
      <c r="D69" s="7" t="s">
        <v>103</v>
      </c>
      <c r="E69" s="7" t="s">
        <v>104</v>
      </c>
      <c r="F69" s="8">
        <v>46174</v>
      </c>
      <c r="G69" s="8">
        <v>46181</v>
      </c>
      <c r="H69" s="8">
        <v>46182</v>
      </c>
      <c r="I69" s="8">
        <v>46186</v>
      </c>
      <c r="J69" s="8">
        <v>46187</v>
      </c>
      <c r="K69" s="8">
        <v>46193</v>
      </c>
      <c r="L69" s="8">
        <v>46200</v>
      </c>
      <c r="M69" s="8">
        <v>46202</v>
      </c>
      <c r="N69" s="8">
        <v>46203</v>
      </c>
      <c r="O69" s="7">
        <v>29</v>
      </c>
      <c r="P69" s="7" t="s">
        <v>110</v>
      </c>
      <c r="Q69" s="7">
        <v>7</v>
      </c>
      <c r="R69" s="7">
        <v>7</v>
      </c>
      <c r="S69" s="7">
        <v>1300000</v>
      </c>
      <c r="T69" s="7" t="s">
        <v>111</v>
      </c>
      <c r="U69" s="7" t="s">
        <v>112</v>
      </c>
    </row>
    <row r="70" spans="2:21" x14ac:dyDescent="0.3">
      <c r="B70" s="5" t="s">
        <v>93</v>
      </c>
      <c r="C70" s="6" t="s">
        <v>21</v>
      </c>
      <c r="D70" s="7" t="s">
        <v>108</v>
      </c>
      <c r="E70" s="7" t="s">
        <v>109</v>
      </c>
      <c r="F70" s="8">
        <v>46176</v>
      </c>
      <c r="G70" s="8">
        <v>46179</v>
      </c>
      <c r="H70" s="8">
        <v>46180</v>
      </c>
      <c r="I70" s="8">
        <v>46183</v>
      </c>
      <c r="J70" s="8">
        <v>46184</v>
      </c>
      <c r="K70" s="8">
        <v>46188</v>
      </c>
      <c r="L70" s="8">
        <v>46191</v>
      </c>
      <c r="M70" s="8">
        <v>46192</v>
      </c>
      <c r="N70" s="8">
        <v>46193</v>
      </c>
      <c r="O70" s="7">
        <v>17</v>
      </c>
      <c r="P70" s="7" t="s">
        <v>105</v>
      </c>
      <c r="Q70" s="7">
        <v>3</v>
      </c>
      <c r="R70" s="7">
        <v>2</v>
      </c>
      <c r="S70" s="7">
        <v>870000</v>
      </c>
      <c r="T70" s="7" t="s">
        <v>106</v>
      </c>
      <c r="U70" s="7" t="s">
        <v>118</v>
      </c>
    </row>
    <row r="71" spans="2:21" x14ac:dyDescent="0.3">
      <c r="B71" s="5" t="s">
        <v>94</v>
      </c>
      <c r="C71" s="6" t="s">
        <v>22</v>
      </c>
      <c r="D71" s="7" t="s">
        <v>124</v>
      </c>
      <c r="E71" s="7" t="s">
        <v>125</v>
      </c>
      <c r="F71" s="8">
        <v>46178</v>
      </c>
      <c r="G71" s="8">
        <v>46182</v>
      </c>
      <c r="H71" s="8">
        <v>46183</v>
      </c>
      <c r="I71" s="8">
        <v>46187</v>
      </c>
      <c r="J71" s="8">
        <v>46188</v>
      </c>
      <c r="K71" s="8">
        <v>46193</v>
      </c>
      <c r="L71" s="8">
        <v>46199</v>
      </c>
      <c r="M71" s="8">
        <v>46201</v>
      </c>
      <c r="N71" s="8">
        <v>46202</v>
      </c>
      <c r="O71" s="7">
        <v>24</v>
      </c>
      <c r="P71" s="7" t="s">
        <v>110</v>
      </c>
      <c r="Q71" s="7">
        <v>4</v>
      </c>
      <c r="R71" s="7">
        <v>6</v>
      </c>
      <c r="S71" s="7">
        <v>600000</v>
      </c>
      <c r="T71" s="7" t="s">
        <v>111</v>
      </c>
      <c r="U71" s="7" t="s">
        <v>118</v>
      </c>
    </row>
    <row r="72" spans="2:21" x14ac:dyDescent="0.3">
      <c r="B72" s="5" t="s">
        <v>95</v>
      </c>
      <c r="C72" s="6" t="s">
        <v>23</v>
      </c>
      <c r="D72" s="7" t="s">
        <v>113</v>
      </c>
      <c r="E72" s="7" t="s">
        <v>114</v>
      </c>
      <c r="F72" s="8">
        <v>46181</v>
      </c>
      <c r="G72" s="8">
        <v>46183</v>
      </c>
      <c r="H72" s="8">
        <v>46184</v>
      </c>
      <c r="I72" s="8">
        <v>46186</v>
      </c>
      <c r="J72" s="8">
        <v>46187</v>
      </c>
      <c r="K72" s="8">
        <v>46190</v>
      </c>
      <c r="L72" s="8">
        <v>46193</v>
      </c>
      <c r="M72" s="8">
        <v>46194</v>
      </c>
      <c r="N72" s="8">
        <v>46195</v>
      </c>
      <c r="O72" s="7">
        <v>14</v>
      </c>
      <c r="P72" s="7" t="s">
        <v>105</v>
      </c>
      <c r="Q72" s="7">
        <v>2</v>
      </c>
      <c r="R72" s="7">
        <v>0</v>
      </c>
      <c r="S72" s="7">
        <v>430000</v>
      </c>
      <c r="T72" s="7" t="s">
        <v>106</v>
      </c>
      <c r="U72" s="7" t="s">
        <v>107</v>
      </c>
    </row>
    <row r="73" spans="2:21" x14ac:dyDescent="0.3">
      <c r="B73" s="5" t="s">
        <v>96</v>
      </c>
      <c r="C73" s="6" t="s">
        <v>24</v>
      </c>
      <c r="D73" s="7" t="s">
        <v>117</v>
      </c>
      <c r="E73" s="7" t="s">
        <v>127</v>
      </c>
      <c r="F73" s="8">
        <v>46183</v>
      </c>
      <c r="G73" s="8">
        <v>46188</v>
      </c>
      <c r="H73" s="8">
        <v>46189</v>
      </c>
      <c r="I73" s="8">
        <v>46193</v>
      </c>
      <c r="J73" s="8">
        <v>46194</v>
      </c>
      <c r="K73" s="8">
        <v>46199</v>
      </c>
      <c r="L73" s="8">
        <v>46205</v>
      </c>
      <c r="M73" s="8">
        <v>46207</v>
      </c>
      <c r="N73" s="8">
        <v>46208</v>
      </c>
      <c r="O73" s="7">
        <v>25</v>
      </c>
      <c r="P73" s="7" t="s">
        <v>110</v>
      </c>
      <c r="Q73" s="7">
        <v>5</v>
      </c>
      <c r="R73" s="7">
        <v>6</v>
      </c>
      <c r="S73" s="7">
        <v>720000</v>
      </c>
      <c r="T73" s="7" t="s">
        <v>111</v>
      </c>
      <c r="U73" s="7" t="s">
        <v>118</v>
      </c>
    </row>
    <row r="74" spans="2:21" x14ac:dyDescent="0.3">
      <c r="B74" s="5" t="s">
        <v>97</v>
      </c>
      <c r="C74" s="6" t="s">
        <v>25</v>
      </c>
      <c r="D74" s="7" t="s">
        <v>119</v>
      </c>
      <c r="E74" s="7" t="s">
        <v>120</v>
      </c>
      <c r="F74" s="8">
        <v>46185</v>
      </c>
      <c r="G74" s="8">
        <v>46193</v>
      </c>
      <c r="H74" s="8">
        <v>46194</v>
      </c>
      <c r="I74" s="8">
        <v>46199</v>
      </c>
      <c r="J74" s="8">
        <v>46200</v>
      </c>
      <c r="K74" s="8">
        <v>46207</v>
      </c>
      <c r="L74" s="8">
        <v>46215</v>
      </c>
      <c r="M74" s="8">
        <v>46217</v>
      </c>
      <c r="N74" s="8">
        <v>46218</v>
      </c>
      <c r="O74" s="7">
        <v>33</v>
      </c>
      <c r="P74" s="7" t="s">
        <v>110</v>
      </c>
      <c r="Q74" s="7">
        <v>8</v>
      </c>
      <c r="R74" s="7">
        <v>8</v>
      </c>
      <c r="S74" s="7">
        <v>1750000</v>
      </c>
      <c r="T74" s="7" t="s">
        <v>111</v>
      </c>
      <c r="U74" s="7" t="s">
        <v>112</v>
      </c>
    </row>
    <row r="75" spans="2:21" x14ac:dyDescent="0.3">
      <c r="B75" s="5" t="s">
        <v>98</v>
      </c>
      <c r="C75" s="6" t="s">
        <v>26</v>
      </c>
      <c r="D75" s="7" t="s">
        <v>121</v>
      </c>
      <c r="E75" s="7" t="s">
        <v>109</v>
      </c>
      <c r="F75" s="8">
        <v>46188</v>
      </c>
      <c r="G75" s="8">
        <v>46190</v>
      </c>
      <c r="H75" s="8">
        <v>46191</v>
      </c>
      <c r="I75" s="8">
        <v>46194</v>
      </c>
      <c r="J75" s="8">
        <v>46195</v>
      </c>
      <c r="K75" s="8">
        <v>46198</v>
      </c>
      <c r="L75" s="8">
        <v>46201</v>
      </c>
      <c r="M75" s="8">
        <v>46202</v>
      </c>
      <c r="N75" s="8">
        <v>46203</v>
      </c>
      <c r="O75" s="7">
        <v>15</v>
      </c>
      <c r="P75" s="7" t="s">
        <v>105</v>
      </c>
      <c r="Q75" s="7">
        <v>2</v>
      </c>
      <c r="R75" s="7">
        <v>1</v>
      </c>
      <c r="S75" s="7">
        <v>800000</v>
      </c>
      <c r="T75" s="7" t="s">
        <v>106</v>
      </c>
      <c r="U75" s="7" t="s">
        <v>107</v>
      </c>
    </row>
    <row r="76" spans="2:21" x14ac:dyDescent="0.3">
      <c r="B76" s="5" t="s">
        <v>99</v>
      </c>
      <c r="C76" s="6" t="s">
        <v>27</v>
      </c>
      <c r="D76" s="7" t="s">
        <v>122</v>
      </c>
      <c r="E76" s="7" t="s">
        <v>123</v>
      </c>
      <c r="F76" s="8">
        <v>46191</v>
      </c>
      <c r="G76" s="8">
        <v>46193</v>
      </c>
      <c r="H76" s="8">
        <v>46194</v>
      </c>
      <c r="I76" s="8">
        <v>46196</v>
      </c>
      <c r="J76" s="8">
        <v>46197</v>
      </c>
      <c r="K76" s="8">
        <v>46200</v>
      </c>
      <c r="L76" s="8">
        <v>46203</v>
      </c>
      <c r="M76" s="8">
        <v>46204</v>
      </c>
      <c r="N76" s="8">
        <v>46205</v>
      </c>
      <c r="O76" s="7">
        <v>14</v>
      </c>
      <c r="P76" s="7" t="s">
        <v>105</v>
      </c>
      <c r="Q76" s="7">
        <v>2</v>
      </c>
      <c r="R76" s="7">
        <v>0</v>
      </c>
      <c r="S76" s="7">
        <v>300000</v>
      </c>
      <c r="T76" s="7" t="s">
        <v>106</v>
      </c>
      <c r="U76" s="7" t="s">
        <v>107</v>
      </c>
    </row>
    <row r="77" spans="2:21" x14ac:dyDescent="0.3">
      <c r="B77" s="5" t="s">
        <v>100</v>
      </c>
      <c r="C77" s="6" t="s">
        <v>20</v>
      </c>
      <c r="D77" s="7" t="s">
        <v>115</v>
      </c>
      <c r="E77" s="7" t="s">
        <v>104</v>
      </c>
      <c r="F77" s="8">
        <v>46193</v>
      </c>
      <c r="G77" s="8">
        <v>46200</v>
      </c>
      <c r="H77" s="8">
        <v>46201</v>
      </c>
      <c r="I77" s="8">
        <v>46205</v>
      </c>
      <c r="J77" s="8">
        <v>46206</v>
      </c>
      <c r="K77" s="8">
        <v>46212</v>
      </c>
      <c r="L77" s="8">
        <v>46219</v>
      </c>
      <c r="M77" s="8">
        <v>46221</v>
      </c>
      <c r="N77" s="8">
        <v>46222</v>
      </c>
      <c r="O77" s="7">
        <v>29</v>
      </c>
      <c r="P77" s="7" t="s">
        <v>110</v>
      </c>
      <c r="Q77" s="7">
        <v>7</v>
      </c>
      <c r="R77" s="7">
        <v>7</v>
      </c>
      <c r="S77" s="7">
        <v>1350000</v>
      </c>
      <c r="T77" s="7" t="s">
        <v>111</v>
      </c>
      <c r="U77" s="7" t="s">
        <v>112</v>
      </c>
    </row>
    <row r="78" spans="2:21" x14ac:dyDescent="0.3">
      <c r="B78" s="5" t="s">
        <v>101</v>
      </c>
      <c r="C78" s="6" t="s">
        <v>21</v>
      </c>
      <c r="D78" s="7" t="s">
        <v>108</v>
      </c>
      <c r="E78" s="7" t="s">
        <v>109</v>
      </c>
      <c r="F78" s="8">
        <v>46195</v>
      </c>
      <c r="G78" s="8">
        <v>46198</v>
      </c>
      <c r="H78" s="8">
        <v>46199</v>
      </c>
      <c r="I78" s="8">
        <v>46202</v>
      </c>
      <c r="J78" s="8">
        <v>46203</v>
      </c>
      <c r="K78" s="8">
        <v>46207</v>
      </c>
      <c r="L78" s="8">
        <v>46210</v>
      </c>
      <c r="M78" s="8">
        <v>46211</v>
      </c>
      <c r="N78" s="8">
        <v>46212</v>
      </c>
      <c r="O78" s="7">
        <v>17</v>
      </c>
      <c r="P78" s="7" t="s">
        <v>105</v>
      </c>
      <c r="Q78" s="7">
        <v>3</v>
      </c>
      <c r="R78" s="7">
        <v>2</v>
      </c>
      <c r="S78" s="7">
        <v>900000</v>
      </c>
      <c r="T78" s="7" t="s">
        <v>106</v>
      </c>
      <c r="U78" s="7" t="s">
        <v>118</v>
      </c>
    </row>
    <row r="79" spans="2:21" x14ac:dyDescent="0.3">
      <c r="B79" s="5" t="s">
        <v>102</v>
      </c>
      <c r="C79" s="6" t="s">
        <v>22</v>
      </c>
      <c r="D79" s="7" t="s">
        <v>124</v>
      </c>
      <c r="E79" s="7" t="s">
        <v>125</v>
      </c>
      <c r="F79" s="8">
        <v>46198</v>
      </c>
      <c r="G79" s="8">
        <v>46202</v>
      </c>
      <c r="H79" s="8">
        <v>46203</v>
      </c>
      <c r="I79" s="8">
        <v>46207</v>
      </c>
      <c r="J79" s="8">
        <v>46208</v>
      </c>
      <c r="K79" s="8">
        <v>46213</v>
      </c>
      <c r="L79" s="8">
        <v>46219</v>
      </c>
      <c r="M79" s="8">
        <v>46221</v>
      </c>
      <c r="N79" s="8">
        <v>46222</v>
      </c>
      <c r="O79" s="7">
        <v>24</v>
      </c>
      <c r="P79" s="7" t="s">
        <v>110</v>
      </c>
      <c r="Q79" s="7">
        <v>4</v>
      </c>
      <c r="R79" s="7">
        <v>6</v>
      </c>
      <c r="S79" s="7">
        <v>620000</v>
      </c>
      <c r="T79" s="7" t="s">
        <v>111</v>
      </c>
      <c r="U79" s="7" t="s">
        <v>118</v>
      </c>
    </row>
    <row r="80" spans="2:21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</sheetData>
  <mergeCells count="20">
    <mergeCell ref="M3:M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T3:T4"/>
    <mergeCell ref="U3:U4"/>
    <mergeCell ref="N3:N4"/>
    <mergeCell ref="O3:O4"/>
    <mergeCell ref="P3:P4"/>
    <mergeCell ref="Q3:Q4"/>
    <mergeCell ref="R3:R4"/>
    <mergeCell ref="S3:S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7725-9DE5-4C0A-8615-3C6A4B8EF293}">
  <dimension ref="A3:C35"/>
  <sheetViews>
    <sheetView topLeftCell="A3" workbookViewId="0">
      <selection activeCell="F43" sqref="F43"/>
    </sheetView>
  </sheetViews>
  <sheetFormatPr defaultRowHeight="15.05" x14ac:dyDescent="0.3"/>
  <cols>
    <col min="1" max="1" width="20.21875" bestFit="1" customWidth="1"/>
    <col min="2" max="2" width="15.88671875" bestFit="1" customWidth="1"/>
    <col min="3" max="3" width="21.33203125" bestFit="1" customWidth="1"/>
    <col min="6" max="6" width="5.21875" customWidth="1"/>
    <col min="7" max="7" width="20" customWidth="1"/>
    <col min="8" max="8" width="12.5546875" customWidth="1"/>
  </cols>
  <sheetData>
    <row r="3" spans="1:2" x14ac:dyDescent="0.3">
      <c r="A3" s="10" t="s">
        <v>135</v>
      </c>
      <c r="B3" s="10" t="s">
        <v>136</v>
      </c>
    </row>
    <row r="4" spans="1:2" x14ac:dyDescent="0.3">
      <c r="A4" s="7"/>
      <c r="B4" s="7"/>
    </row>
    <row r="5" spans="1:2" x14ac:dyDescent="0.3">
      <c r="A5" s="7" t="s">
        <v>129</v>
      </c>
      <c r="B5" s="7">
        <f>COUNTA(Sheet1!B:B)-1</f>
        <v>75</v>
      </c>
    </row>
    <row r="6" spans="1:2" x14ac:dyDescent="0.3">
      <c r="A6" s="7"/>
      <c r="B6" s="7"/>
    </row>
    <row r="7" spans="1:2" x14ac:dyDescent="0.3">
      <c r="A7" s="7" t="s">
        <v>130</v>
      </c>
      <c r="B7" s="7">
        <f>AVERAGE(Sheet1!O:O)</f>
        <v>20.653333333333332</v>
      </c>
    </row>
    <row r="8" spans="1:2" x14ac:dyDescent="0.3">
      <c r="A8" s="7"/>
      <c r="B8" s="7"/>
    </row>
    <row r="9" spans="1:2" x14ac:dyDescent="0.3">
      <c r="A9" s="7" t="s">
        <v>131</v>
      </c>
      <c r="B9" s="7">
        <f>COUNTIF(Sheet1!T:T,"Delayed")</f>
        <v>37</v>
      </c>
    </row>
    <row r="10" spans="1:2" x14ac:dyDescent="0.3">
      <c r="A10" s="7"/>
      <c r="B10" s="7"/>
    </row>
    <row r="11" spans="1:2" x14ac:dyDescent="0.3">
      <c r="A11" s="7" t="s">
        <v>132</v>
      </c>
      <c r="B11" s="7">
        <f>AVERAGE(Sheet1!Q:Q)</f>
        <v>4.04</v>
      </c>
    </row>
    <row r="12" spans="1:2" x14ac:dyDescent="0.3">
      <c r="A12" s="7"/>
      <c r="B12" s="7"/>
    </row>
    <row r="13" spans="1:2" x14ac:dyDescent="0.3">
      <c r="A13" s="7" t="s">
        <v>133</v>
      </c>
      <c r="B13" s="7">
        <f>AVERAGE(Sheet1!R:R)</f>
        <v>3.44</v>
      </c>
    </row>
    <row r="14" spans="1:2" x14ac:dyDescent="0.3">
      <c r="A14" s="7"/>
      <c r="B14" s="7"/>
    </row>
    <row r="15" spans="1:2" x14ac:dyDescent="0.3">
      <c r="A15" s="7" t="s">
        <v>134</v>
      </c>
      <c r="B15" s="7">
        <f>COUNTIF(Sheet1!U:U,"High")</f>
        <v>20</v>
      </c>
    </row>
    <row r="19" spans="1:3" x14ac:dyDescent="0.3">
      <c r="A19" s="11" t="s">
        <v>141</v>
      </c>
      <c r="B19" s="11" t="s">
        <v>142</v>
      </c>
    </row>
    <row r="20" spans="1:3" x14ac:dyDescent="0.3">
      <c r="A20" s="7"/>
      <c r="B20" s="7"/>
    </row>
    <row r="21" spans="1:3" x14ac:dyDescent="0.3">
      <c r="A21" s="7" t="s">
        <v>137</v>
      </c>
      <c r="B21" s="7">
        <f>B9/B5</f>
        <v>0.49333333333333335</v>
      </c>
    </row>
    <row r="22" spans="1:3" x14ac:dyDescent="0.3">
      <c r="A22" s="7"/>
      <c r="B22" s="7"/>
    </row>
    <row r="23" spans="1:3" x14ac:dyDescent="0.3">
      <c r="A23" s="7" t="s">
        <v>138</v>
      </c>
      <c r="B23" s="7">
        <f>B5-B9</f>
        <v>38</v>
      </c>
    </row>
    <row r="24" spans="1:3" x14ac:dyDescent="0.3">
      <c r="A24" s="7"/>
      <c r="B24" s="7"/>
    </row>
    <row r="25" spans="1:3" x14ac:dyDescent="0.3">
      <c r="A25" s="7" t="s">
        <v>139</v>
      </c>
      <c r="B25" s="7">
        <f>AVERAGE(Sheet1!S:S)</f>
        <v>744400</v>
      </c>
    </row>
    <row r="26" spans="1:3" x14ac:dyDescent="0.3">
      <c r="A26" s="7"/>
      <c r="B26" s="7"/>
    </row>
    <row r="27" spans="1:3" x14ac:dyDescent="0.3">
      <c r="A27" s="7" t="s">
        <v>140</v>
      </c>
      <c r="B27" s="7">
        <f>SUM(Sheet1!S:S)</f>
        <v>55830000</v>
      </c>
    </row>
    <row r="31" spans="1:3" ht="30.15" x14ac:dyDescent="0.3">
      <c r="A31" s="14" t="s">
        <v>143</v>
      </c>
      <c r="B31" s="14" t="s">
        <v>144</v>
      </c>
      <c r="C31" s="14" t="s">
        <v>145</v>
      </c>
    </row>
    <row r="32" spans="1:3" x14ac:dyDescent="0.3">
      <c r="A32" s="12" t="s">
        <v>146</v>
      </c>
      <c r="B32" s="12" t="s">
        <v>147</v>
      </c>
      <c r="C32" s="13" t="s">
        <v>148</v>
      </c>
    </row>
    <row r="33" spans="1:3" x14ac:dyDescent="0.3">
      <c r="A33" s="12" t="s">
        <v>149</v>
      </c>
      <c r="B33" s="12" t="s">
        <v>150</v>
      </c>
      <c r="C33" s="13" t="s">
        <v>151</v>
      </c>
    </row>
    <row r="34" spans="1:3" x14ac:dyDescent="0.3">
      <c r="A34" s="12" t="s">
        <v>152</v>
      </c>
      <c r="B34" s="12" t="s">
        <v>153</v>
      </c>
      <c r="C34" s="13" t="s">
        <v>154</v>
      </c>
    </row>
    <row r="35" spans="1:3" x14ac:dyDescent="0.3">
      <c r="A35" s="12" t="s">
        <v>155</v>
      </c>
      <c r="B35" s="12" t="s">
        <v>156</v>
      </c>
      <c r="C35" s="1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KOLLAPATTU GOPICHAND</dc:creator>
  <cp:lastModifiedBy>KOLLAPATTU GOPICHAND</cp:lastModifiedBy>
  <dcterms:created xsi:type="dcterms:W3CDTF">2026-07-08T09:24:51Z</dcterms:created>
  <dcterms:modified xsi:type="dcterms:W3CDTF">2026-07-09T13:04:47Z</dcterms:modified>
</cp:coreProperties>
</file>